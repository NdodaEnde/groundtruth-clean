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dingAI Actual Cos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<sst xmlns="http://schemas.openxmlformats.org/spreadsheetml/2006/main" count="75" uniqueCount="70">
  <si>
    <t xml:space="preserve">ACTUAL LANDINGAI COSTS - BASED ON REAL PRICING</t>
  </si>
  <si>
    <t xml:space="preserve">Updated with actual LandingAI credit pricing from screenshot</t>
  </si>
  <si>
    <t xml:space="preserve">LANDINGAI PRICING TIERS</t>
  </si>
  <si>
    <t xml:space="preserve">Tier</t>
  </si>
  <si>
    <t xml:space="preserve">Monthly Cost (USD)</t>
  </si>
  <si>
    <t xml:space="preserve">Credits/Month</t>
  </si>
  <si>
    <t xml:space="preserve">$ per Credit</t>
  </si>
  <si>
    <t xml:space="preserve">Credits per $1</t>
  </si>
  <si>
    <t xml:space="preserve">ZAR per Credit (R20/$)</t>
  </si>
  <si>
    <t xml:space="preserve">Explore (Pay-as-you-go)</t>
  </si>
  <si>
    <t xml:space="preserve">Team</t>
  </si>
  <si>
    <t xml:space="preserve">Visionary</t>
  </si>
  <si>
    <t xml:space="preserve">CREDIT USAGE PER DOCUMENT (4-page patient visit)</t>
  </si>
  <si>
    <t xml:space="preserve">Operation</t>
  </si>
  <si>
    <t xml:space="preserve">Pages</t>
  </si>
  <si>
    <t xml:space="preserve">Credits/Page</t>
  </si>
  <si>
    <t xml:space="preserve">Total Credits</t>
  </si>
  <si>
    <t xml:space="preserve">Cost (Explore)</t>
  </si>
  <si>
    <t xml:space="preserve">Cost (Team)</t>
  </si>
  <si>
    <t xml:space="preserve">Cost (Visionary)</t>
  </si>
  <si>
    <t xml:space="preserve">Parse (PDF to Markdown)</t>
  </si>
  <si>
    <t xml:space="preserve">Extract (Structured fields)</t>
  </si>
  <si>
    <t xml:space="preserve">1 call</t>
  </si>
  <si>
    <t xml:space="preserve">TOTAL PER DOCUMENT</t>
  </si>
  <si>
    <t xml:space="preserve">COST IN ZAR (R20 = $1)</t>
  </si>
  <si>
    <t xml:space="preserve">Explore Tier</t>
  </si>
  <si>
    <t xml:space="preserve">Team Tier</t>
  </si>
  <si>
    <t xml:space="preserve">Visionary Tier</t>
  </si>
  <si>
    <t xml:space="preserve">Parse (4 pages)</t>
  </si>
  <si>
    <t xml:space="preserve">Extract (1 call)</t>
  </si>
  <si>
    <t xml:space="preserve">TOTAL COST PER DOCUMENT</t>
  </si>
  <si>
    <t xml:space="preserve">COST PER PAGE</t>
  </si>
  <si>
    <t xml:space="preserve">MONTHLY COST SCENARIOS (which LandingAI tier to use?)</t>
  </si>
  <si>
    <t xml:space="preserve">Your Volume</t>
  </si>
  <si>
    <t xml:space="preserve">Documents/Month</t>
  </si>
  <si>
    <t xml:space="preserve">Credits Needed</t>
  </si>
  <si>
    <t xml:space="preserve">Explore Cost</t>
  </si>
  <si>
    <t xml:space="preserve">Team Cost</t>
  </si>
  <si>
    <t xml:space="preserve">Visionary Cost</t>
  </si>
  <si>
    <t xml:space="preserve">Best Tier</t>
  </si>
  <si>
    <t xml:space="preserve">Small Practice</t>
  </si>
  <si>
    <t xml:space="preserve">Medium Practice</t>
  </si>
  <si>
    <t xml:space="preserve">Large Practice</t>
  </si>
  <si>
    <t xml:space="preserve">Hospital/Gov</t>
  </si>
  <si>
    <t xml:space="preserve">YOUR PRICING RECOMMENDATIONS (with margin targets)</t>
  </si>
  <si>
    <t xml:space="preserve">Your Tier</t>
  </si>
  <si>
    <t xml:space="preserve">LandingAI Tier</t>
  </si>
  <si>
    <t xml:space="preserve">Cost/Doc</t>
  </si>
  <si>
    <t xml:space="preserve">Your Price/Doc</t>
  </si>
  <si>
    <t xml:space="preserve">Gross Margin</t>
  </si>
  <si>
    <t xml:space="preserve">Monthly Price</t>
  </si>
  <si>
    <t xml:space="preserve">STARTER</t>
  </si>
  <si>
    <t xml:space="preserve">Explore</t>
  </si>
  <si>
    <t xml:space="preserve">PROFESSIONAL</t>
  </si>
  <si>
    <t xml:space="preserve">ENTERPRISE</t>
  </si>
  <si>
    <t xml:space="preserve">GOVERNMENT</t>
  </si>
  <si>
    <t xml:space="preserve">Custom</t>
  </si>
  <si>
    <t xml:space="preserve">50,000+</t>
  </si>
  <si>
    <t xml:space="preserve">🚨 KEY FINDINGS</t>
  </si>
  <si>
    <t xml:space="preserve">1. Your ACTUAL cost per document is R 1.00-1.50 (NOT R 0.45 as originally calculated)</t>
  </si>
  <si>
    <t xml:space="preserve">2. This is because parsing 4 pages costs ~4.8 credits, not 2.5</t>
  </si>
  <si>
    <t xml:space="preserve">3. At R 20/document pricing, your gross margin is still 93-95% (excellent!)</t>
  </si>
  <si>
    <t xml:space="preserve">4. For high volume (&gt;2500 docs/month), use LandingAI Team tier for best rates</t>
  </si>
  <si>
    <t xml:space="preserve">5. For government scale (&gt;50k docs/month), negotiate Visionary tier + volume discount</t>
  </si>
  <si>
    <t xml:space="preserve">✅ ACTION ITEMS FOR YOU</t>
  </si>
  <si>
    <t xml:space="preserve">1. TEST: Process 10 sample documents and check actual credit usage in LandingAI dashboard</t>
  </si>
  <si>
    <t xml:space="preserve">2. VERIFY: Parse credits + Extract credits = actual total (should be 5-7 credits per 4-page doc)</t>
  </si>
  <si>
    <t xml:space="preserve">3. DECIDE: What's your document definition? (Single visit = 4 pages, or full file = 30 pages?)</t>
  </si>
  <si>
    <t xml:space="preserve">4. NEGOTIATE: Once you hit 50k+ documents/month, contact LandingAI for enterprise pricing</t>
  </si>
  <si>
    <t xml:space="preserve">5. BUDGET: Plan for R 1.00-1.50 per document cost, not R 0.45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</si>
</sst>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#,##0"/>
    <numFmt numFmtId="167" formatCode="\$0.00000"/>
    <numFmt numFmtId="168" formatCode="#,##0.0"/>
    <numFmt numFmtId="169" formatCode="\$0.00"/>
    <numFmt numFmtId="170" formatCode="[$$-409]#,##0.00;[RED]\-[$$-409]#,##0.00"/>
    <numFmt numFmtId="171" formatCode="General"/>
    <numFmt numFmtId="172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3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E7E6E6"/>
        <bgColor rgb="FFFFFFFF"/>
      </patternFill>
    </fill>
    <fill>
      <patternFill patternType="solid">
        <fgColor rgb="FFFFE699"/>
        <bgColor rgb="FFFFCC99"/>
      </patternFill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7" min="3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0" t="s">
        <v>9</v>
      </c>
      <c r="B6" s="5" t="n">
        <v>1</v>
      </c>
      <c r="C6" s="6" t="n">
        <v>100</v>
      </c>
      <c r="D6" s="7" t="n">
        <f aca="false">B6/C6</f>
        <v>0.01</v>
      </c>
      <c r="E6" s="8" t="n">
        <f aca="false">C6/B6</f>
        <v>100</v>
      </c>
      <c r="F6" s="7" t="n">
        <f aca="false">D6*20</f>
        <v>0.2</v>
      </c>
    </row>
    <row r="7" customFormat="false" ht="15" hidden="false" customHeight="false" outlineLevel="0" collapsed="false">
      <c r="A7" s="0" t="s">
        <v>10</v>
      </c>
      <c r="B7" s="5" t="n">
        <v>250</v>
      </c>
      <c r="C7" s="6" t="n">
        <v>27500</v>
      </c>
      <c r="D7" s="7" t="n">
        <f aca="false">B7/C7</f>
        <v>0.00909090909090909</v>
      </c>
      <c r="E7" s="8" t="n">
        <f aca="false">C7/B7</f>
        <v>110</v>
      </c>
      <c r="F7" s="7" t="n">
        <f aca="false">D7*20</f>
        <v>0.181818181818182</v>
      </c>
    </row>
    <row r="8" customFormat="false" ht="15" hidden="false" customHeight="false" outlineLevel="0" collapsed="false">
      <c r="A8" s="0" t="s">
        <v>11</v>
      </c>
      <c r="B8" s="5" t="n">
        <v>2000</v>
      </c>
      <c r="C8" s="6" t="n">
        <v>260000</v>
      </c>
      <c r="D8" s="7" t="n">
        <f aca="false">B8/C8</f>
        <v>0.00769230769230769</v>
      </c>
      <c r="E8" s="8" t="n">
        <f aca="false">C8/B8</f>
        <v>130</v>
      </c>
      <c r="F8" s="7" t="n">
        <f aca="false">D8*20</f>
        <v>0.153846153846154</v>
      </c>
    </row>
    <row r="11" customFormat="false" ht="15" hidden="false" customHeight="false" outlineLevel="0" collapsed="false">
      <c r="A11" s="3" t="s">
        <v>12</v>
      </c>
      <c r="B11" s="3"/>
      <c r="C11" s="3"/>
      <c r="D11" s="3"/>
      <c r="E11" s="3"/>
      <c r="F11" s="3"/>
      <c r="G11" s="3"/>
    </row>
    <row r="12" customFormat="false" ht="15" hidden="false" customHeight="false" outlineLevel="0" collapsed="false">
      <c r="A12" s="4" t="s">
        <v>13</v>
      </c>
      <c r="B12" s="4" t="s">
        <v>14</v>
      </c>
      <c r="C12" s="4" t="s">
        <v>15</v>
      </c>
      <c r="D12" s="4" t="s">
        <v>16</v>
      </c>
      <c r="E12" s="4" t="s">
        <v>17</v>
      </c>
      <c r="F12" s="4" t="s">
        <v>18</v>
      </c>
      <c r="G12" s="4" t="s">
        <v>19</v>
      </c>
    </row>
    <row r="13" customFormat="false" ht="15" hidden="false" customHeight="false" outlineLevel="0" collapsed="false">
      <c r="A13" s="0" t="s">
        <v>20</v>
      </c>
      <c r="B13" s="9" t="n">
        <v>4</v>
      </c>
      <c r="C13" s="9" t="n">
        <v>1.2</v>
      </c>
      <c r="D13" s="10" t="n">
        <f aca="false">B13*C13</f>
        <v>4.8</v>
      </c>
      <c r="E13" s="11" t="n">
        <f aca="false">D13*D6</f>
        <v>0.048</v>
      </c>
      <c r="F13" s="11" t="n">
        <f aca="false">D13*D7</f>
        <v>0.0436363636363636</v>
      </c>
      <c r="G13" s="11" t="n">
        <f aca="false">D13*D8</f>
        <v>0.0369230769230769</v>
      </c>
    </row>
    <row r="14" customFormat="false" ht="15" hidden="false" customHeight="false" outlineLevel="0" collapsed="false">
      <c r="A14" s="0" t="s">
        <v>21</v>
      </c>
      <c r="B14" s="0" t="s">
        <v>22</v>
      </c>
      <c r="C14" s="9" t="n">
        <v>0.8</v>
      </c>
      <c r="D14" s="10" t="n">
        <f aca="false">C14</f>
        <v>0.8</v>
      </c>
      <c r="E14" s="11" t="n">
        <f aca="false">D14*D6</f>
        <v>0.008</v>
      </c>
      <c r="F14" s="11" t="n">
        <f aca="false">D14*D7</f>
        <v>0.00727272727272727</v>
      </c>
      <c r="G14" s="11" t="n">
        <f aca="false">D14*D8</f>
        <v>0.00615384615384616</v>
      </c>
    </row>
    <row r="15" customFormat="false" ht="15" hidden="false" customHeight="false" outlineLevel="0" collapsed="false">
      <c r="A15" s="4" t="s">
        <v>23</v>
      </c>
      <c r="D15" s="12" t="n">
        <f aca="false">D13+D14</f>
        <v>5.6</v>
      </c>
      <c r="E15" s="13" t="n">
        <f aca="false">E13+E14</f>
        <v>0.056</v>
      </c>
      <c r="F15" s="13" t="n">
        <f aca="false">F13+F14</f>
        <v>0.0509090909090909</v>
      </c>
      <c r="G15" s="13" t="n">
        <f aca="false">G13+G14</f>
        <v>0.0430769230769231</v>
      </c>
    </row>
    <row r="17" customFormat="false" ht="15" hidden="false" customHeight="false" outlineLevel="0" collapsed="false">
      <c r="A17" s="14" t="s">
        <v>24</v>
      </c>
      <c r="B17" s="14"/>
      <c r="C17" s="14"/>
      <c r="D17" s="14"/>
      <c r="E17" s="14"/>
      <c r="F17" s="14"/>
      <c r="G17" s="14"/>
    </row>
    <row r="18" customFormat="false" ht="15" hidden="false" customHeight="false" outlineLevel="0" collapsed="false">
      <c r="A18" s="4" t="s">
        <v>13</v>
      </c>
      <c r="E18" s="4" t="s">
        <v>25</v>
      </c>
      <c r="F18" s="4" t="s">
        <v>26</v>
      </c>
      <c r="G18" s="4" t="s">
        <v>27</v>
      </c>
    </row>
    <row r="19" customFormat="false" ht="15" hidden="false" customHeight="false" outlineLevel="0" collapsed="false">
      <c r="A19" s="0" t="s">
        <v>28</v>
      </c>
      <c r="E19" s="11" t="n">
        <f aca="false">E13*20</f>
        <v>0.96</v>
      </c>
      <c r="F19" s="11" t="n">
        <f aca="false">F13*20</f>
        <v>0.872727272727273</v>
      </c>
      <c r="G19" s="11" t="n">
        <f aca="false">G13*20</f>
        <v>0.738461538461539</v>
      </c>
    </row>
    <row r="20" customFormat="false" ht="15" hidden="false" customHeight="false" outlineLevel="0" collapsed="false">
      <c r="A20" s="0" t="s">
        <v>29</v>
      </c>
      <c r="E20" s="11" t="n">
        <f aca="false">E14*20</f>
        <v>0.16</v>
      </c>
      <c r="F20" s="11" t="n">
        <f aca="false">F14*20</f>
        <v>0.145454545454545</v>
      </c>
      <c r="G20" s="11" t="n">
        <f aca="false">G14*20</f>
        <v>0.123076923076923</v>
      </c>
    </row>
    <row r="21" customFormat="false" ht="15" hidden="false" customHeight="false" outlineLevel="0" collapsed="false">
      <c r="A21" s="4" t="s">
        <v>30</v>
      </c>
      <c r="E21" s="13" t="n">
        <f aca="false">E15*20</f>
        <v>1.12</v>
      </c>
      <c r="F21" s="13" t="n">
        <f aca="false">F15*20</f>
        <v>1.01818181818182</v>
      </c>
      <c r="G21" s="13" t="n">
        <f aca="false">G15*20</f>
        <v>0.861538461538462</v>
      </c>
    </row>
    <row r="23" customFormat="false" ht="15" hidden="false" customHeight="false" outlineLevel="0" collapsed="false">
      <c r="A23" s="4" t="s">
        <v>31</v>
      </c>
      <c r="E23" s="11" t="n">
        <f aca="false">E21/4</f>
        <v>0.28</v>
      </c>
      <c r="F23" s="11" t="n">
        <f aca="false">F21/4</f>
        <v>0.254545454545455</v>
      </c>
      <c r="G23" s="11" t="n">
        <f aca="false">G21/4</f>
        <v>0.215384615384615</v>
      </c>
    </row>
    <row r="26" customFormat="false" ht="15" hidden="false" customHeight="false" outlineLevel="0" collapsed="false">
      <c r="A26" s="15" t="s">
        <v>32</v>
      </c>
      <c r="B26" s="15"/>
      <c r="C26" s="15"/>
      <c r="D26" s="15"/>
      <c r="E26" s="15"/>
      <c r="F26" s="15"/>
      <c r="G26" s="15"/>
    </row>
    <row r="27" customFormat="false" ht="15" hidden="false" customHeight="false" outlineLevel="0" collapsed="false">
      <c r="A27" s="4" t="s">
        <v>33</v>
      </c>
      <c r="B27" s="4" t="s">
        <v>34</v>
      </c>
      <c r="C27" s="4" t="s">
        <v>35</v>
      </c>
      <c r="D27" s="4" t="s">
        <v>36</v>
      </c>
      <c r="E27" s="4" t="s">
        <v>37</v>
      </c>
      <c r="F27" s="4" t="s">
        <v>38</v>
      </c>
      <c r="G27" s="4" t="s">
        <v>39</v>
      </c>
    </row>
    <row r="28" customFormat="false" ht="15" hidden="false" customHeight="false" outlineLevel="0" collapsed="false">
      <c r="A28" s="0" t="s">
        <v>40</v>
      </c>
      <c r="B28" s="9" t="n">
        <v>500</v>
      </c>
      <c r="C28" s="8" t="n">
        <f aca="false">B28*D15</f>
        <v>2800</v>
      </c>
      <c r="D28" s="16" t="n">
        <f aca="false">C28*D6*20</f>
        <v>560</v>
      </c>
      <c r="E28" s="17" t="n">
        <f aca="false">IF(C28&lt;=27500, 250*20, 250*20 + (C28-27500)*D7*20)</f>
        <v>5000</v>
      </c>
      <c r="F28" s="17" t="n">
        <f aca="false">IF(C28&lt;=260000, 2000*20, 2000*20 + (C28-260000)*D8*20)</f>
        <v>40000</v>
      </c>
      <c r="G28" s="0" t="str">
        <f aca="false">IF(D28&lt;E28, IF(D28&lt;F28, "Explore", "Visionary"), IF(E28&lt;F28, "Team", "Visionary"))</f>
        <v>Explore</v>
      </c>
    </row>
    <row r="29" customFormat="false" ht="15" hidden="false" customHeight="false" outlineLevel="0" collapsed="false">
      <c r="A29" s="0" t="s">
        <v>41</v>
      </c>
      <c r="B29" s="9" t="n">
        <v>2500</v>
      </c>
      <c r="C29" s="8" t="n">
        <f aca="false">B29*D15</f>
        <v>14000</v>
      </c>
      <c r="D29" s="16" t="n">
        <f aca="false">C29*D6*20</f>
        <v>2800</v>
      </c>
      <c r="E29" s="17" t="n">
        <f aca="false">IF(C29&lt;=27500, 250*20, 250*20 + (C29-27500)*D7*20)</f>
        <v>5000</v>
      </c>
      <c r="F29" s="17" t="n">
        <f aca="false">IF(C29&lt;=260000, 2000*20, 2000*20 + (C29-260000)*D8*20)</f>
        <v>40000</v>
      </c>
      <c r="G29" s="0" t="str">
        <f aca="false">IF(D29&lt;E29, IF(D29&lt;F29, "Explore", "Visionary"), IF(E29&lt;F29, "Team", "Visionary"))</f>
        <v>Explore</v>
      </c>
    </row>
    <row r="30" customFormat="false" ht="15" hidden="false" customHeight="false" outlineLevel="0" collapsed="false">
      <c r="A30" s="0" t="s">
        <v>42</v>
      </c>
      <c r="B30" s="9" t="n">
        <v>10000</v>
      </c>
      <c r="C30" s="8" t="n">
        <f aca="false">B30*D15</f>
        <v>56000</v>
      </c>
      <c r="D30" s="16" t="n">
        <f aca="false">C30*D6*20</f>
        <v>11200</v>
      </c>
      <c r="E30" s="16" t="n">
        <f aca="false">IF(C30&lt;=27500, 250*20, 250*20 + (C30-27500)*D7*20)</f>
        <v>10181.8181818182</v>
      </c>
      <c r="F30" s="17" t="n">
        <f aca="false">IF(C30&lt;=260000, 2000*20, 2000*20 + (C30-260000)*D8*20)</f>
        <v>40000</v>
      </c>
      <c r="G30" s="0" t="str">
        <f aca="false">IF(D30&lt;E30, IF(D30&lt;F30, "Explore", "Visionary"), IF(E30&lt;F30, "Team", "Visionary"))</f>
        <v>Team</v>
      </c>
    </row>
    <row r="31" customFormat="false" ht="15" hidden="false" customHeight="false" outlineLevel="0" collapsed="false">
      <c r="A31" s="0" t="s">
        <v>43</v>
      </c>
      <c r="B31" s="9" t="n">
        <v>50000</v>
      </c>
      <c r="C31" s="8" t="n">
        <f aca="false">B31*D15</f>
        <v>280000</v>
      </c>
      <c r="D31" s="16" t="n">
        <f aca="false">C31*D6*20</f>
        <v>56000</v>
      </c>
      <c r="E31" s="16" t="n">
        <f aca="false">IF(C31&lt;=27500, 250*20, 250*20 + (C31-27500)*D7*20)</f>
        <v>50909.0909090909</v>
      </c>
      <c r="F31" s="16" t="n">
        <f aca="false">IF(C31&lt;=260000, 2000*20, 2000*20 + (C31-260000)*D8*20)</f>
        <v>43076.9230769231</v>
      </c>
      <c r="G31" s="0" t="str">
        <f aca="false">IF(D31&lt;E31, IF(D31&lt;F31, "Explore", "Visionary"), IF(E31&lt;F31, "Team", "Visionary"))</f>
        <v>Visionary</v>
      </c>
    </row>
    <row r="33" customFormat="false" ht="15" hidden="false" customHeight="false" outlineLevel="0" collapsed="false">
      <c r="A33" s="18" t="s">
        <v>44</v>
      </c>
      <c r="B33" s="18"/>
      <c r="C33" s="18"/>
      <c r="D33" s="18"/>
      <c r="E33" s="18"/>
      <c r="F33" s="18"/>
      <c r="G33" s="18"/>
    </row>
    <row r="34" customFormat="false" ht="15" hidden="false" customHeight="false" outlineLevel="0" collapsed="false">
      <c r="A34" s="4" t="s">
        <v>45</v>
      </c>
      <c r="B34" s="4" t="s">
        <v>46</v>
      </c>
      <c r="C34" s="4" t="s">
        <v>47</v>
      </c>
      <c r="D34" s="4" t="s">
        <v>48</v>
      </c>
      <c r="E34" s="4" t="s">
        <v>49</v>
      </c>
      <c r="F34" s="4" t="s">
        <v>50</v>
      </c>
      <c r="G34" s="4" t="s">
        <v>34</v>
      </c>
    </row>
    <row r="35" customFormat="false" ht="15" hidden="false" customHeight="false" outlineLevel="0" collapsed="false">
      <c r="A35" s="0" t="s">
        <v>51</v>
      </c>
      <c r="B35" s="0" t="s">
        <v>52</v>
      </c>
      <c r="C35" s="11" t="n">
        <f aca="false">E21</f>
        <v>1.12</v>
      </c>
      <c r="D35" s="19" t="n">
        <v>20</v>
      </c>
      <c r="E35" s="20" t="n">
        <f aca="false">(D35-C35)/D35</f>
        <v>0.944</v>
      </c>
      <c r="F35" s="17" t="n">
        <v>10000</v>
      </c>
      <c r="G35" s="8" t="n">
        <v>500</v>
      </c>
    </row>
    <row r="36" customFormat="false" ht="15" hidden="false" customHeight="false" outlineLevel="0" collapsed="false">
      <c r="A36" s="0" t="s">
        <v>53</v>
      </c>
      <c r="B36" s="0" t="s">
        <v>10</v>
      </c>
      <c r="C36" s="11" t="n">
        <f aca="false">F21</f>
        <v>1.01818181818182</v>
      </c>
      <c r="D36" s="19" t="n">
        <v>20</v>
      </c>
      <c r="E36" s="20" t="n">
        <f aca="false">(D36-C36)/D36</f>
        <v>0.949090909090909</v>
      </c>
      <c r="F36" s="17" t="n">
        <v>50000</v>
      </c>
      <c r="G36" s="8" t="n">
        <v>2500</v>
      </c>
    </row>
    <row r="37" customFormat="false" ht="15" hidden="false" customHeight="false" outlineLevel="0" collapsed="false">
      <c r="A37" s="0" t="s">
        <v>54</v>
      </c>
      <c r="B37" s="0" t="s">
        <v>10</v>
      </c>
      <c r="C37" s="11" t="n">
        <f aca="false">F21</f>
        <v>1.01818181818182</v>
      </c>
      <c r="D37" s="19" t="n">
        <v>20</v>
      </c>
      <c r="E37" s="20" t="n">
        <f aca="false">(D37-C37)/D37</f>
        <v>0.949090909090909</v>
      </c>
      <c r="F37" s="17" t="n">
        <v>200000</v>
      </c>
      <c r="G37" s="8" t="n">
        <v>10000</v>
      </c>
    </row>
    <row r="38" customFormat="false" ht="15" hidden="false" customHeight="false" outlineLevel="0" collapsed="false">
      <c r="A38" s="0" t="s">
        <v>55</v>
      </c>
      <c r="B38" s="0" t="s">
        <v>11</v>
      </c>
      <c r="C38" s="11" t="n">
        <f aca="false">G21</f>
        <v>0.861538461538462</v>
      </c>
      <c r="D38" s="19" t="n">
        <v>16</v>
      </c>
      <c r="E38" s="20" t="n">
        <f aca="false">(D38-C38)/D38</f>
        <v>0.946153846153846</v>
      </c>
      <c r="F38" s="21" t="s">
        <v>56</v>
      </c>
      <c r="G38" s="21" t="s">
        <v>57</v>
      </c>
    </row>
    <row r="41" customFormat="false" ht="16.15" hidden="false" customHeight="false" outlineLevel="0" collapsed="false">
      <c r="A41" s="22" t="s">
        <v>58</v>
      </c>
      <c r="B41" s="22"/>
      <c r="C41" s="22"/>
      <c r="D41" s="22"/>
      <c r="E41" s="22"/>
      <c r="F41" s="22"/>
      <c r="G41" s="22"/>
    </row>
    <row r="42" customFormat="false" ht="30" hidden="false" customHeight="true" outlineLevel="0" collapsed="false">
      <c r="A42" s="23" t="s">
        <v>59</v>
      </c>
      <c r="B42" s="23"/>
      <c r="C42" s="23"/>
      <c r="D42" s="23"/>
      <c r="E42" s="23"/>
      <c r="F42" s="23"/>
      <c r="G42" s="23"/>
    </row>
    <row r="43" customFormat="false" ht="30" hidden="false" customHeight="true" outlineLevel="0" collapsed="false">
      <c r="A43" s="23" t="s">
        <v>60</v>
      </c>
      <c r="B43" s="23"/>
      <c r="C43" s="23"/>
      <c r="D43" s="23"/>
      <c r="E43" s="23"/>
      <c r="F43" s="23"/>
      <c r="G43" s="23"/>
    </row>
    <row r="44" customFormat="false" ht="30" hidden="false" customHeight="true" outlineLevel="0" collapsed="false">
      <c r="A44" s="23" t="s">
        <v>61</v>
      </c>
      <c r="B44" s="23"/>
      <c r="C44" s="23"/>
      <c r="D44" s="23"/>
      <c r="E44" s="23"/>
      <c r="F44" s="23"/>
      <c r="G44" s="23"/>
    </row>
    <row r="45" customFormat="false" ht="30" hidden="false" customHeight="true" outlineLevel="0" collapsed="false">
      <c r="A45" s="23" t="s">
        <v>62</v>
      </c>
      <c r="B45" s="23"/>
      <c r="C45" s="23"/>
      <c r="D45" s="23"/>
      <c r="E45" s="23"/>
      <c r="F45" s="23"/>
      <c r="G45" s="23"/>
    </row>
    <row r="46" customFormat="false" ht="30" hidden="false" customHeight="true" outlineLevel="0" collapsed="false">
      <c r="A46" s="23" t="s">
        <v>63</v>
      </c>
      <c r="B46" s="23"/>
      <c r="C46" s="23"/>
      <c r="D46" s="23"/>
      <c r="E46" s="23"/>
      <c r="F46" s="23"/>
      <c r="G46" s="23"/>
    </row>
    <row r="48" customFormat="false" ht="16.15" hidden="false" customHeight="false" outlineLevel="0" collapsed="false">
      <c r="A48" s="24" t="s">
        <v>64</v>
      </c>
      <c r="B48" s="24"/>
      <c r="C48" s="24"/>
      <c r="D48" s="24"/>
      <c r="E48" s="24"/>
      <c r="F48" s="24"/>
      <c r="G48" s="24"/>
    </row>
    <row r="49" customFormat="false" ht="30" hidden="false" customHeight="true" outlineLevel="0" collapsed="false">
      <c r="A49" s="25" t="s">
        <v>65</v>
      </c>
      <c r="B49" s="25"/>
      <c r="C49" s="25"/>
      <c r="D49" s="25"/>
      <c r="E49" s="25"/>
      <c r="F49" s="25"/>
      <c r="G49" s="25"/>
    </row>
    <row r="50" customFormat="false" ht="30" hidden="false" customHeight="true" outlineLevel="0" collapsed="false">
      <c r="A50" s="25" t="s">
        <v>66</v>
      </c>
      <c r="B50" s="25"/>
      <c r="C50" s="25"/>
      <c r="D50" s="25"/>
      <c r="E50" s="25"/>
      <c r="F50" s="25"/>
      <c r="G50" s="25"/>
    </row>
    <row r="51" customFormat="false" ht="30" hidden="false" customHeight="true" outlineLevel="0" collapsed="false">
      <c r="A51" s="25" t="s">
        <v>67</v>
      </c>
      <c r="B51" s="25"/>
      <c r="C51" s="25"/>
      <c r="D51" s="25"/>
      <c r="E51" s="25"/>
      <c r="F51" s="25"/>
      <c r="G51" s="25"/>
    </row>
    <row r="52" customFormat="false" ht="30" hidden="false" customHeight="true" outlineLevel="0" collapsed="false">
      <c r="A52" s="25" t="s">
        <v>68</v>
      </c>
      <c r="B52" s="25"/>
      <c r="C52" s="25"/>
      <c r="D52" s="25"/>
      <c r="E52" s="25"/>
      <c r="F52" s="25"/>
      <c r="G52" s="25"/>
    </row>
    <row r="53" customFormat="false" ht="30" hidden="false" customHeight="true" outlineLevel="0" collapsed="false">
      <c r="A53" s="25" t="s">
        <v>69</v>
      </c>
      <c r="B53" s="25"/>
      <c r="C53" s="25"/>
      <c r="D53" s="25"/>
      <c r="E53" s="25"/>
      <c r="F53" s="25"/>
      <c r="G53" s="25"/>
    </row>
  </sheetData>
  <mergeCells count="19">
    <mergeCell ref="A1:G1"/>
    <mergeCell ref="A2:G2"/>
    <mergeCell ref="A4:G4"/>
    <mergeCell ref="A11:G11"/>
    <mergeCell ref="A17:G17"/>
    <mergeCell ref="A26:G26"/>
    <mergeCell ref="A33:G33"/>
    <mergeCell ref="A41:G41"/>
    <mergeCell ref="A42:G42"/>
    <mergeCell ref="A43:G43"/>
    <mergeCell ref="A44:G44"/>
    <mergeCell ref="A45:G45"/>
    <mergeCell ref="A46:G46"/>
    <mergeCell ref="A48:G48"/>
    <mergeCell ref="A49:G49"/>
    <mergeCell ref="A50:G50"/>
    <mergeCell ref="A51:G51"/>
    <mergeCell ref="A52:G52"/>
    <mergeCell ref="A53:G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2025-12-30T12:52:56Z</dcterms:created>
  <dc:creator>openpyxl</dc:creator>
  <dc:description/>
  <dc:language>en-US</dc:language>
  <cp:lastModifiedBy/>
  <dcterms:modified xsi:type="dcterms:W3CDTF">2025-12-30T12:52:56Z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