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GS vs OpEx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<sst xmlns="http://schemas.openxmlformats.org/spreadsheetml/2006/main" count="133" uniqueCount="109">
  <si>
    <t xml:space="preserve">COGS vs OPERATING EXPENSES - PROPER ACCOUNTING TREATMENT</t>
  </si>
  <si>
    <t xml:space="preserve">Understanding the difference is critical for pricing, margins, and investor presentations</t>
  </si>
  <si>
    <t xml:space="preserve">ACCOUNTING DEFINITIONS</t>
  </si>
  <si>
    <t xml:space="preserve">Cost Type</t>
  </si>
  <si>
    <t xml:space="preserve">Definition</t>
  </si>
  <si>
    <t xml:space="preserve">Examples</t>
  </si>
  <si>
    <t xml:space="preserve">How it Scales</t>
  </si>
  <si>
    <t xml:space="preserve">COGS
(Cost of Goods Sold)</t>
  </si>
  <si>
    <t xml:space="preserve">Direct costs that vary with each unit sold. If you process 0 documents, these costs are R0.</t>
  </si>
  <si>
    <t xml:space="preserve">• LandingAI API calls
• Variable compute
• Storage per document
• Bandwidth/egress</t>
  </si>
  <si>
    <t xml:space="preserve">LINEAR with volume
Double documents =
Double COGS</t>
  </si>
  <si>
    <t xml:space="preserve">OpEx
(Operating Expenses)</t>
  </si>
  <si>
    <t xml:space="preserve">Fixed/semi-fixed costs to run the business. You pay these even if you process 0 documents.</t>
  </si>
  <si>
    <t xml:space="preserve">• Base server costs
• Supabase subscription
• Salaries
• Office, marketing</t>
  </si>
  <si>
    <t xml:space="preserve">STEPPED with scale
Need bigger servers
as you grow</t>
  </si>
  <si>
    <t xml:space="preserve">YOUR INFRASTRUCTURE - COGS vs OpEx CLASSIFICATION</t>
  </si>
  <si>
    <t xml:space="preserve">Component</t>
  </si>
  <si>
    <t xml:space="preserve">Type</t>
  </si>
  <si>
    <t xml:space="preserve">Cost Structure</t>
  </si>
  <si>
    <t xml:space="preserve">Monthly Cost (ZAR)</t>
  </si>
  <si>
    <t xml:space="preserve">Per Document Cost</t>
  </si>
  <si>
    <t xml:space="preserve">Notes</t>
  </si>
  <si>
    <t xml:space="preserve">LandingAI API</t>
  </si>
  <si>
    <t xml:space="preserve">COGS</t>
  </si>
  <si>
    <t xml:space="preserve">Per call</t>
  </si>
  <si>
    <t xml:space="preserve">Parse + Extract credits</t>
  </si>
  <si>
    <t xml:space="preserve">Vector Embeddings</t>
  </si>
  <si>
    <t xml:space="preserve">Per document</t>
  </si>
  <si>
    <t xml:space="preserve">Sentence-transformers (free but compute cost)</t>
  </si>
  <si>
    <t xml:space="preserve">Document Storage (S3)</t>
  </si>
  <si>
    <t xml:space="preserve">Per GB stored</t>
  </si>
  <si>
    <t xml:space="preserve">Variable</t>
  </si>
  <si>
    <t xml:space="preserve">~R0.05/doc for 4-page PDF storage</t>
  </si>
  <si>
    <t xml:space="preserve">Bandwidth/Egress</t>
  </si>
  <si>
    <t xml:space="preserve">Per GB transfer</t>
  </si>
  <si>
    <t xml:space="preserve">Users downloading processed docs</t>
  </si>
  <si>
    <t xml:space="preserve">TOTAL COGS PER DOCUMENT</t>
  </si>
  <si>
    <t xml:space="preserve">Supabase (Base Plan)</t>
  </si>
  <si>
    <t xml:space="preserve">OpEx</t>
  </si>
  <si>
    <t xml:space="preserve">Fixed monthly</t>
  </si>
  <si>
    <t xml:space="preserve">Database + auth</t>
  </si>
  <si>
    <t xml:space="preserve">Backend Hosting (1 server)</t>
  </si>
  <si>
    <t xml:space="preserve">Starter: 1x EC2 t3.medium</t>
  </si>
  <si>
    <t xml:space="preserve">Backend Hosting (3 servers)</t>
  </si>
  <si>
    <t xml:space="preserve">Enterprise: Load balanced</t>
  </si>
  <si>
    <t xml:space="preserve">Qdrant Vector DB</t>
  </si>
  <si>
    <t xml:space="preserve">Self-hosted (free, on your server)</t>
  </si>
  <si>
    <t xml:space="preserve">CDN/CloudFlare</t>
  </si>
  <si>
    <t xml:space="preserve">Basic plan</t>
  </si>
  <si>
    <t xml:space="preserve">Monitoring (DataDog/New Relic)</t>
  </si>
  <si>
    <t xml:space="preserve">Application monitoring</t>
  </si>
  <si>
    <t xml:space="preserve">SSL Certificates</t>
  </si>
  <si>
    <t xml:space="preserve">Let's Encrypt + backup</t>
  </si>
  <si>
    <t xml:space="preserve">SUBTOTAL: Base Infrastructure</t>
  </si>
  <si>
    <t xml:space="preserve">Minimum to operate</t>
  </si>
  <si>
    <t xml:space="preserve">Salaries (2-5 FTE)</t>
  </si>
  <si>
    <t xml:space="preserve">Developers, support, sales</t>
  </si>
  <si>
    <t xml:space="preserve">Office &amp; Admin</t>
  </si>
  <si>
    <t xml:space="preserve">Co-working space, software licenses</t>
  </si>
  <si>
    <t xml:space="preserve">Sales &amp; Marketing</t>
  </si>
  <si>
    <t xml:space="preserve">Ads, conferences, materials</t>
  </si>
  <si>
    <t xml:space="preserve">TOTAL OPERATING EXPENSES</t>
  </si>
  <si>
    <t xml:space="preserve">Fixed costs per month</t>
  </si>
  <si>
    <t xml:space="preserve">KEY ASSUMPTIONS FOR CALCULATIONS</t>
  </si>
  <si>
    <t xml:space="preserve">Documents processed per month:</t>
  </si>
  <si>
    <t xml:space="preserve">(for calculating per-doc OpEx)</t>
  </si>
  <si>
    <t xml:space="preserve">LandingAI cost per document:</t>
  </si>
  <si>
    <t xml:space="preserve">(from Team tier analysis)</t>
  </si>
  <si>
    <t xml:space="preserve">GROSS MARGIN ANALYSIS - COGS ONLY vs FULLY LOADED</t>
  </si>
  <si>
    <t xml:space="preserve">Volume (docs/month)</t>
  </si>
  <si>
    <t xml:space="preserve">Revenue @ R20/doc</t>
  </si>
  <si>
    <t xml:space="preserve">COGS Only</t>
  </si>
  <si>
    <t xml:space="preserve">Gross Margin (COGS)</t>
  </si>
  <si>
    <t xml:space="preserve">OpEx (Infrastructure)</t>
  </si>
  <si>
    <t xml:space="preserve">OpEx (People)</t>
  </si>
  <si>
    <t xml:space="preserve">Net Margin (Fully Loaded)</t>
  </si>
  <si>
    <t xml:space="preserve">500</t>
  </si>
  <si>
    <t xml:space="preserve">2,500</t>
  </si>
  <si>
    <t xml:space="preserve">10,000</t>
  </si>
  <si>
    <t xml:space="preserve">50,000</t>
  </si>
  <si>
    <t xml:space="preserve">🔑 KEY INSIGHTS FOR PRICING &amp; BUSINESS MODEL</t>
  </si>
  <si>
    <t xml:space="preserve">1. COGS (pure variable cost): R 1.08 per document (95% is LandingAI API)</t>
  </si>
  <si>
    <t xml:space="preserve">   → Your GROSS MARGIN on COGS alone is 94.6% at R20/document pricing</t>
  </si>
  <si>
    <t xml:space="preserve">2. OpEx (fixed costs): R 3,900-95,000/month depending on scale</t>
  </si>
  <si>
    <t xml:space="preserve">   → At 500 docs/month: OpEx adds R 190/doc (makes you unprofitable)</t>
  </si>
  <si>
    <t xml:space="preserve">   → At 2,500 docs/month: OpEx adds R 38/doc (still tight margins)</t>
  </si>
  <si>
    <t xml:space="preserve">   → At 10,000+ docs/month: OpEx adds R 10-15/doc (healthy unit economics)</t>
  </si>
  <si>
    <t xml:space="preserve">3. BREAK-EVEN ANALYSIS:</t>
  </si>
  <si>
    <t xml:space="preserve">   → At R 20/doc pricing with R 1.08 COGS = R 18.92 contribution margin</t>
  </si>
  <si>
    <t xml:space="preserve">   → Need 530 docs/month to cover minimum OpEx (R 10,000/month)</t>
  </si>
  <si>
    <t xml:space="preserve">   → Need 2,100 docs/month to be profitable with full team (R 40,000/month OpEx)</t>
  </si>
  <si>
    <t xml:space="preserve">4. INVESTOR PITCH METRICS:</t>
  </si>
  <si>
    <t xml:space="preserve">   → Gross Margin (COGS): 94.6% ← Show this to investors!</t>
  </si>
  <si>
    <t xml:space="preserve">   → Contribution Margin: R 18.92 per doc ← This funds growth</t>
  </si>
  <si>
    <t xml:space="preserve">✅ RECOMMENDATIONS</t>
  </si>
  <si>
    <t xml:space="preserve">1. PRICING: Keep R 20/doc for &lt;10k docs/month, R 12-16/doc for government volume</t>
  </si>
  <si>
    <t xml:space="preserve">2. CUSTOMER TARGETING: Focus on customers processing &gt;1,000 docs/month minimum</t>
  </si>
  <si>
    <t xml:space="preserve">3. METRICS TO TRACK:</t>
  </si>
  <si>
    <t xml:space="preserve">   • Gross Margin (COGS only) - should stay 93-96%</t>
  </si>
  <si>
    <t xml:space="preserve">   • Contribution Margin per document - R 18-19</t>
  </si>
  <si>
    <t xml:space="preserve">   • Monthly OpEx burn - keep under R 50k until 3,000+ docs/month</t>
  </si>
  <si>
    <t xml:space="preserve">4. INVESTOR NARRATIVE:</t>
  </si>
  <si>
    <t xml:space="preserve">   • '95% gross margins with R19 contribution per unit'</t>
  </si>
  <si>
    <t xml:space="preserve">   • 'Path to profitability at 2,100 documents/month'</t>
  </si>
  <si>
    <t xml:space="preserve">   • 'Unit economics improve dramatically at scale'</t>
  </si>
  <si>
    <t xml:space="preserve">5. DO NOT:</t>
  </si>
  <si>
    <t xml:space="preserve">   • Include OpEx in COGS for margin calculations (confuses investors)</t>
  </si>
  <si>
    <t xml:space="preserve">   • Price based on fully-loaded costs at low volume</t>
  </si>
  <si>
    <t xml:space="preserve">   • Promise profitability without hitting volume thresholds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</si>
</sst>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color rgb="FF0000FF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5AA0"/>
        <bgColor rgb="FF4472C4"/>
      </patternFill>
    </fill>
    <fill>
      <patternFill patternType="solid">
        <fgColor rgb="FFE7E6E6"/>
        <bgColor rgb="FFFFFFFF"/>
      </patternFill>
    </fill>
    <fill>
      <patternFill patternType="solid">
        <fgColor rgb="FFFF0000"/>
        <bgColor rgb="FF993300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E7E6E6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E7E6E6"/>
      <rgbColor rgb="FFCCFFFF"/>
      <rgbColor rgb="FF660066"/>
      <rgbColor rgb="FFFF8080"/>
      <rgbColor rgb="FF2C5AA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5" min="3" style="1" width="18"/>
    <col collapsed="false" customWidth="true" hidden="false" outlineLevel="0" max="6" min="6" style="1" width="25"/>
    <col collapsed="false" customWidth="true" hidden="false" outlineLevel="0" max="7" min="7" style="1" width="18"/>
    <col collapsed="false" customWidth="true" hidden="false" outlineLevel="0" max="8" min="8" style="1" width="1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60" hidden="false" customHeight="true" outlineLevel="0" collapsed="false">
      <c r="A6" s="6" t="s">
        <v>7</v>
      </c>
      <c r="B6" s="6" t="s">
        <v>8</v>
      </c>
      <c r="C6" s="6" t="s">
        <v>9</v>
      </c>
      <c r="D6" s="6" t="s">
        <v>10</v>
      </c>
    </row>
    <row r="7" customFormat="false" ht="60" hidden="false" customHeight="true" outlineLevel="0" collapsed="false">
      <c r="A7" s="6" t="s">
        <v>11</v>
      </c>
      <c r="B7" s="6" t="s">
        <v>12</v>
      </c>
      <c r="C7" s="6" t="s">
        <v>13</v>
      </c>
      <c r="D7" s="6" t="s">
        <v>14</v>
      </c>
    </row>
    <row r="10" customFormat="false" ht="15" hidden="false" customHeight="true" outlineLevel="0" collapsed="false">
      <c r="A10" s="7" t="s">
        <v>15</v>
      </c>
      <c r="B10" s="7"/>
      <c r="C10" s="7"/>
      <c r="D10" s="7"/>
      <c r="E10" s="7"/>
      <c r="F10" s="7"/>
      <c r="G10" s="7"/>
      <c r="H10" s="7"/>
    </row>
    <row r="11" customFormat="false" ht="15" hidden="false" customHeight="true" outlineLevel="0" collapsed="false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</row>
    <row r="12" customFormat="false" ht="15" hidden="false" customHeight="true" outlineLevel="0" collapsed="false">
      <c r="A12" s="1" t="s">
        <v>22</v>
      </c>
      <c r="B12" s="8" t="s">
        <v>23</v>
      </c>
      <c r="C12" s="1" t="s">
        <v>24</v>
      </c>
      <c r="D12" s="1" t="n">
        <f aca="false">B30*E21</f>
        <v>2525</v>
      </c>
      <c r="E12" s="1" t="n">
        <f aca="false">1.01</f>
        <v>1.01</v>
      </c>
      <c r="F12" s="1" t="s">
        <v>25</v>
      </c>
    </row>
    <row r="13" customFormat="false" ht="15" hidden="false" customHeight="true" outlineLevel="0" collapsed="false">
      <c r="A13" s="1" t="s">
        <v>26</v>
      </c>
      <c r="B13" s="8" t="s">
        <v>23</v>
      </c>
      <c r="C13" s="1" t="s">
        <v>27</v>
      </c>
      <c r="D13" s="1" t="n">
        <f aca="false">B30*0.001*20</f>
        <v>50</v>
      </c>
      <c r="E13" s="1" t="n">
        <f aca="false">0.02</f>
        <v>0.02</v>
      </c>
      <c r="F13" s="1" t="s">
        <v>28</v>
      </c>
    </row>
    <row r="14" customFormat="false" ht="15" hidden="false" customHeight="true" outlineLevel="0" collapsed="false">
      <c r="A14" s="1" t="s">
        <v>29</v>
      </c>
      <c r="B14" s="8" t="s">
        <v>23</v>
      </c>
      <c r="C14" s="1" t="s">
        <v>30</v>
      </c>
      <c r="D14" s="1" t="s">
        <v>31</v>
      </c>
      <c r="E14" s="1" t="n">
        <f aca="false">0.05</f>
        <v>0.05</v>
      </c>
      <c r="F14" s="1" t="s">
        <v>32</v>
      </c>
    </row>
    <row r="15" customFormat="false" ht="15" hidden="false" customHeight="true" outlineLevel="0" collapsed="false">
      <c r="A15" s="1" t="s">
        <v>33</v>
      </c>
      <c r="B15" s="8" t="s">
        <v>23</v>
      </c>
      <c r="C15" s="1" t="s">
        <v>34</v>
      </c>
      <c r="D15" s="1" t="s">
        <v>31</v>
      </c>
      <c r="E15" s="1" t="n">
        <f aca="false">0.02</f>
        <v>0.02</v>
      </c>
      <c r="F15" s="1" t="s">
        <v>35</v>
      </c>
    </row>
    <row r="16" customFormat="false" ht="15" hidden="false" customHeight="true" outlineLevel="0" collapsed="false">
      <c r="A16" s="5" t="s">
        <v>36</v>
      </c>
      <c r="B16" s="8" t="s">
        <v>23</v>
      </c>
      <c r="D16" s="5"/>
      <c r="E16" s="5" t="n">
        <f aca="false">E12+E13+E14+E15</f>
        <v>1.1</v>
      </c>
    </row>
    <row r="17" customFormat="false" ht="4.5" hidden="false" customHeight="true" outlineLevel="0" collapsed="false"/>
    <row r="18" customFormat="false" ht="15" hidden="false" customHeight="true" outlineLevel="0" collapsed="false">
      <c r="A18" s="1" t="s">
        <v>37</v>
      </c>
      <c r="B18" s="9" t="s">
        <v>38</v>
      </c>
      <c r="C18" s="1" t="s">
        <v>39</v>
      </c>
      <c r="D18" s="10" t="n">
        <v>500</v>
      </c>
      <c r="E18" s="1" t="n">
        <f aca="false">D18/B30</f>
        <v>0.2</v>
      </c>
      <c r="F18" s="1" t="s">
        <v>40</v>
      </c>
    </row>
    <row r="19" customFormat="false" ht="15" hidden="false" customHeight="true" outlineLevel="0" collapsed="false">
      <c r="A19" s="1" t="s">
        <v>41</v>
      </c>
      <c r="B19" s="9" t="s">
        <v>38</v>
      </c>
      <c r="C19" s="1" t="s">
        <v>39</v>
      </c>
      <c r="D19" s="10" t="n">
        <v>2000</v>
      </c>
      <c r="E19" s="1" t="n">
        <f aca="false">D19/B30</f>
        <v>0.8</v>
      </c>
      <c r="F19" s="1" t="s">
        <v>42</v>
      </c>
    </row>
    <row r="20" customFormat="false" ht="15" hidden="false" customHeight="true" outlineLevel="0" collapsed="false">
      <c r="A20" s="1" t="s">
        <v>43</v>
      </c>
      <c r="B20" s="9" t="s">
        <v>38</v>
      </c>
      <c r="C20" s="1" t="s">
        <v>39</v>
      </c>
      <c r="D20" s="10" t="n">
        <v>6000</v>
      </c>
      <c r="E20" s="1" t="n">
        <f aca="false">D20/B30</f>
        <v>2.4</v>
      </c>
      <c r="F20" s="1" t="s">
        <v>44</v>
      </c>
    </row>
    <row r="21" customFormat="false" ht="15" hidden="false" customHeight="true" outlineLevel="0" collapsed="false">
      <c r="A21" s="1" t="s">
        <v>45</v>
      </c>
      <c r="B21" s="9" t="s">
        <v>38</v>
      </c>
      <c r="C21" s="1" t="s">
        <v>39</v>
      </c>
      <c r="D21" s="10" t="n">
        <v>0</v>
      </c>
      <c r="E21" s="1" t="n">
        <v>1.01</v>
      </c>
      <c r="F21" s="1" t="s">
        <v>46</v>
      </c>
    </row>
    <row r="22" customFormat="false" ht="15" hidden="false" customHeight="true" outlineLevel="0" collapsed="false">
      <c r="A22" s="1" t="s">
        <v>47</v>
      </c>
      <c r="B22" s="9" t="s">
        <v>38</v>
      </c>
      <c r="C22" s="1" t="s">
        <v>39</v>
      </c>
      <c r="D22" s="10" t="n">
        <v>400</v>
      </c>
      <c r="E22" s="1" t="n">
        <f aca="false">D22/B30</f>
        <v>0.16</v>
      </c>
      <c r="F22" s="1" t="s">
        <v>48</v>
      </c>
    </row>
    <row r="23" customFormat="false" ht="15" hidden="false" customHeight="true" outlineLevel="0" collapsed="false">
      <c r="A23" s="1" t="s">
        <v>49</v>
      </c>
      <c r="B23" s="9" t="s">
        <v>38</v>
      </c>
      <c r="C23" s="1" t="s">
        <v>39</v>
      </c>
      <c r="D23" s="10" t="n">
        <v>1000</v>
      </c>
      <c r="E23" s="1" t="n">
        <f aca="false">D23/B30</f>
        <v>0.4</v>
      </c>
      <c r="F23" s="1" t="s">
        <v>50</v>
      </c>
    </row>
    <row r="24" customFormat="false" ht="15" hidden="false" customHeight="true" outlineLevel="0" collapsed="false">
      <c r="A24" s="1" t="s">
        <v>51</v>
      </c>
      <c r="B24" s="9" t="s">
        <v>38</v>
      </c>
      <c r="C24" s="1" t="s">
        <v>39</v>
      </c>
      <c r="D24" s="10" t="n">
        <v>100</v>
      </c>
      <c r="E24" s="1" t="n">
        <f aca="false">D24/B30</f>
        <v>0.04</v>
      </c>
      <c r="F24" s="1" t="s">
        <v>52</v>
      </c>
    </row>
    <row r="25" customFormat="false" ht="15" hidden="false" customHeight="true" outlineLevel="0" collapsed="false">
      <c r="A25" s="5" t="s">
        <v>53</v>
      </c>
      <c r="B25" s="9" t="s">
        <v>38</v>
      </c>
      <c r="D25" s="5" t="n">
        <f aca="false">D19+D22+D23+D24</f>
        <v>3500</v>
      </c>
      <c r="E25" s="5" t="n">
        <f aca="false">D25/B30</f>
        <v>1.4</v>
      </c>
      <c r="F25" s="1" t="s">
        <v>54</v>
      </c>
    </row>
    <row r="26" customFormat="false" ht="4.5" hidden="false" customHeight="true" outlineLevel="0" collapsed="false"/>
    <row r="27" customFormat="false" ht="15" hidden="false" customHeight="true" outlineLevel="0" collapsed="false">
      <c r="A27" s="1" t="s">
        <v>55</v>
      </c>
      <c r="B27" s="9" t="s">
        <v>38</v>
      </c>
      <c r="C27" s="1" t="s">
        <v>39</v>
      </c>
      <c r="D27" s="10" t="n">
        <v>80000</v>
      </c>
      <c r="E27" s="1" t="n">
        <f aca="false">D28/B30</f>
        <v>2</v>
      </c>
      <c r="F27" s="1" t="s">
        <v>56</v>
      </c>
    </row>
    <row r="28" customFormat="false" ht="15" hidden="false" customHeight="true" outlineLevel="0" collapsed="false">
      <c r="A28" s="1" t="s">
        <v>57</v>
      </c>
      <c r="B28" s="9" t="s">
        <v>38</v>
      </c>
      <c r="C28" s="1" t="s">
        <v>39</v>
      </c>
      <c r="D28" s="10" t="n">
        <v>5000</v>
      </c>
      <c r="E28" s="1" t="n">
        <f aca="false">D29/B30</f>
        <v>4</v>
      </c>
      <c r="F28" s="1" t="s">
        <v>58</v>
      </c>
    </row>
    <row r="29" customFormat="false" ht="15" hidden="false" customHeight="true" outlineLevel="0" collapsed="false">
      <c r="A29" s="1" t="s">
        <v>59</v>
      </c>
      <c r="B29" s="9" t="s">
        <v>38</v>
      </c>
      <c r="C29" s="1" t="s">
        <v>39</v>
      </c>
      <c r="D29" s="10" t="n">
        <v>10000</v>
      </c>
      <c r="E29" s="1" t="n">
        <f aca="false">D29/2500</f>
        <v>4</v>
      </c>
      <c r="F29" s="1" t="s">
        <v>60</v>
      </c>
    </row>
    <row r="30" customFormat="false" ht="15" hidden="false" customHeight="true" outlineLevel="0" collapsed="false">
      <c r="A30" s="5" t="s">
        <v>61</v>
      </c>
      <c r="B30" s="9" t="n">
        <v>2500</v>
      </c>
      <c r="D30" s="5" t="n">
        <f aca="false">D29+D28</f>
        <v>15000</v>
      </c>
      <c r="E30" s="5" t="n">
        <f aca="false">D31/B30</f>
        <v>13.4</v>
      </c>
      <c r="F30" s="1" t="s">
        <v>62</v>
      </c>
    </row>
    <row r="31" customFormat="false" ht="15" hidden="false" customHeight="false" outlineLevel="0" collapsed="false">
      <c r="D31" s="1" t="n">
        <f aca="false">D25+D28+D29+D30</f>
        <v>33500</v>
      </c>
    </row>
    <row r="34" customFormat="false" ht="15" hidden="false" customHeight="true" outlineLevel="0" collapsed="false">
      <c r="A34" s="11" t="s">
        <v>63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true" outlineLevel="0" collapsed="false">
      <c r="A35" s="1" t="s">
        <v>64</v>
      </c>
      <c r="B35" s="10" t="n">
        <v>2500</v>
      </c>
      <c r="C35" s="1" t="s">
        <v>65</v>
      </c>
    </row>
    <row r="36" customFormat="false" ht="15" hidden="false" customHeight="true" outlineLevel="0" collapsed="false">
      <c r="A36" s="1" t="s">
        <v>66</v>
      </c>
      <c r="B36" s="10" t="n">
        <v>1.01</v>
      </c>
      <c r="C36" s="1" t="s">
        <v>67</v>
      </c>
    </row>
    <row r="39" customFormat="false" ht="15" hidden="false" customHeight="true" outlineLevel="0" collapsed="false">
      <c r="A39" s="12" t="s">
        <v>68</v>
      </c>
      <c r="B39" s="12"/>
      <c r="C39" s="12"/>
      <c r="D39" s="12"/>
      <c r="E39" s="12"/>
      <c r="F39" s="12"/>
      <c r="G39" s="12"/>
      <c r="H39" s="12"/>
    </row>
    <row r="40" customFormat="false" ht="15" hidden="false" customHeight="true" outlineLevel="0" collapsed="false">
      <c r="A40" s="5" t="s">
        <v>69</v>
      </c>
      <c r="B40" s="5" t="s">
        <v>70</v>
      </c>
      <c r="C40" s="5" t="s">
        <v>71</v>
      </c>
      <c r="D40" s="5" t="s">
        <v>72</v>
      </c>
      <c r="E40" s="5" t="s">
        <v>73</v>
      </c>
      <c r="F40" s="5" t="s">
        <v>74</v>
      </c>
      <c r="G40" s="5" t="s">
        <v>75</v>
      </c>
    </row>
    <row r="41" customFormat="false" ht="15" hidden="false" customHeight="true" outlineLevel="0" collapsed="false">
      <c r="A41" s="13" t="s">
        <v>76</v>
      </c>
      <c r="B41" s="1" t="n">
        <f aca="false">A41*20</f>
        <v>10000</v>
      </c>
      <c r="C41" s="1" t="n">
        <f aca="false">A41*E16</f>
        <v>550</v>
      </c>
      <c r="D41" s="14" t="n">
        <f aca="false">(B41-C41)/B41</f>
        <v>0.945</v>
      </c>
      <c r="E41" s="1" t="n">
        <f aca="false">D25</f>
        <v>3500</v>
      </c>
      <c r="F41" s="1" t="n">
        <f aca="false">D28+D29+D30</f>
        <v>30000</v>
      </c>
      <c r="G41" s="14" t="n">
        <f aca="false">(B41-C41-E41-F41)/B41</f>
        <v>-2.405</v>
      </c>
    </row>
    <row r="42" customFormat="false" ht="15" hidden="false" customHeight="true" outlineLevel="0" collapsed="false">
      <c r="A42" s="13" t="s">
        <v>77</v>
      </c>
      <c r="B42" s="1" t="n">
        <f aca="false">A42*20</f>
        <v>50000</v>
      </c>
      <c r="C42" s="1" t="n">
        <f aca="false">A42*E16</f>
        <v>2750</v>
      </c>
      <c r="D42" s="14" t="n">
        <f aca="false">(B42-C42)/B42</f>
        <v>0.945</v>
      </c>
      <c r="E42" s="1" t="n">
        <f aca="false">D25*1.5</f>
        <v>5250</v>
      </c>
      <c r="F42" s="1" t="n">
        <f aca="false">D28+D29+D30</f>
        <v>30000</v>
      </c>
      <c r="G42" s="14" t="n">
        <f aca="false">(B42-C42-E42-F42)/B42</f>
        <v>0.24</v>
      </c>
    </row>
    <row r="43" customFormat="false" ht="15" hidden="false" customHeight="true" outlineLevel="0" collapsed="false">
      <c r="A43" s="13" t="s">
        <v>78</v>
      </c>
      <c r="B43" s="1" t="n">
        <f aca="false">A43*20</f>
        <v>200000</v>
      </c>
      <c r="C43" s="1" t="n">
        <f aca="false">A43*E16</f>
        <v>11000</v>
      </c>
      <c r="D43" s="14" t="n">
        <f aca="false">(B43-C43)/B43</f>
        <v>0.945</v>
      </c>
      <c r="E43" s="1" t="n">
        <f aca="false">D20+D22+D23+D24</f>
        <v>7500</v>
      </c>
      <c r="F43" s="1" t="n">
        <f aca="false">D28+D29+D30</f>
        <v>30000</v>
      </c>
      <c r="G43" s="14" t="n">
        <f aca="false">(B43-C43-E43-F43)/B43</f>
        <v>0.7575</v>
      </c>
    </row>
    <row r="44" customFormat="false" ht="15" hidden="false" customHeight="true" outlineLevel="0" collapsed="false">
      <c r="A44" s="13" t="s">
        <v>79</v>
      </c>
      <c r="B44" s="1" t="n">
        <f aca="false">A44*20</f>
        <v>1000000</v>
      </c>
      <c r="C44" s="1" t="n">
        <f aca="false">A44*E16</f>
        <v>55000</v>
      </c>
      <c r="D44" s="14" t="n">
        <f aca="false">(B44-C44)/B44</f>
        <v>0.945</v>
      </c>
      <c r="E44" s="1" t="n">
        <f aca="false">D20*2+D22*1.5+D23*1.5+D24</f>
        <v>14200</v>
      </c>
      <c r="F44" s="1" t="n">
        <f aca="false">D28+D29+D30</f>
        <v>30000</v>
      </c>
      <c r="G44" s="14" t="n">
        <f aca="false">(B44-C44-E44-F44)/B44</f>
        <v>0.9008</v>
      </c>
    </row>
    <row r="47" customFormat="false" ht="15" hidden="false" customHeight="true" outlineLevel="0" collapsed="false">
      <c r="A47" s="15" t="s">
        <v>80</v>
      </c>
      <c r="B47" s="15"/>
      <c r="C47" s="15"/>
      <c r="D47" s="15"/>
      <c r="E47" s="15"/>
      <c r="F47" s="15"/>
      <c r="G47" s="15"/>
      <c r="H47" s="15"/>
    </row>
    <row r="48" customFormat="false" ht="24.75" hidden="false" customHeight="true" outlineLevel="0" collapsed="false">
      <c r="A48" s="16" t="s">
        <v>81</v>
      </c>
      <c r="B48" s="16"/>
      <c r="C48" s="16"/>
      <c r="D48" s="16"/>
      <c r="E48" s="16"/>
      <c r="F48" s="16"/>
      <c r="G48" s="16"/>
      <c r="H48" s="16"/>
    </row>
    <row r="49" customFormat="false" ht="24.75" hidden="false" customHeight="true" outlineLevel="0" collapsed="false">
      <c r="A49" s="17" t="s">
        <v>82</v>
      </c>
      <c r="B49" s="17"/>
      <c r="C49" s="17"/>
      <c r="D49" s="17"/>
      <c r="E49" s="17"/>
      <c r="F49" s="17"/>
      <c r="G49" s="17"/>
      <c r="H49" s="17"/>
    </row>
    <row r="50" customFormat="false" ht="4.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</row>
    <row r="51" customFormat="false" ht="24.75" hidden="false" customHeight="true" outlineLevel="0" collapsed="false">
      <c r="A51" s="16" t="s">
        <v>83</v>
      </c>
      <c r="B51" s="16"/>
      <c r="C51" s="16"/>
      <c r="D51" s="16"/>
      <c r="E51" s="16"/>
      <c r="F51" s="16"/>
      <c r="G51" s="16"/>
      <c r="H51" s="16"/>
    </row>
    <row r="52" customFormat="false" ht="24.75" hidden="false" customHeight="true" outlineLevel="0" collapsed="false">
      <c r="A52" s="17" t="s">
        <v>84</v>
      </c>
      <c r="B52" s="17"/>
      <c r="C52" s="17"/>
      <c r="D52" s="17"/>
      <c r="E52" s="17"/>
      <c r="F52" s="17"/>
      <c r="G52" s="17"/>
      <c r="H52" s="17"/>
    </row>
    <row r="53" customFormat="false" ht="24.75" hidden="false" customHeight="true" outlineLevel="0" collapsed="false">
      <c r="A53" s="17" t="s">
        <v>85</v>
      </c>
      <c r="B53" s="17"/>
      <c r="C53" s="17"/>
      <c r="D53" s="17"/>
      <c r="E53" s="17"/>
      <c r="F53" s="17"/>
      <c r="G53" s="17"/>
      <c r="H53" s="17"/>
    </row>
    <row r="54" customFormat="false" ht="24.75" hidden="false" customHeight="true" outlineLevel="0" collapsed="false">
      <c r="A54" s="17" t="s">
        <v>86</v>
      </c>
      <c r="B54" s="17"/>
      <c r="C54" s="17"/>
      <c r="D54" s="17"/>
      <c r="E54" s="17"/>
      <c r="F54" s="17"/>
      <c r="G54" s="17"/>
      <c r="H54" s="17"/>
    </row>
    <row r="55" customFormat="false" ht="4.5" hidden="false" customHeight="true" outlineLevel="0" collapsed="false">
      <c r="A55" s="18"/>
      <c r="B55" s="18"/>
      <c r="C55" s="18"/>
      <c r="D55" s="18"/>
      <c r="E55" s="18"/>
      <c r="F55" s="18"/>
      <c r="G55" s="18"/>
      <c r="H55" s="18"/>
    </row>
    <row r="56" customFormat="false" ht="24.75" hidden="false" customHeight="true" outlineLevel="0" collapsed="false">
      <c r="A56" s="16" t="s">
        <v>87</v>
      </c>
      <c r="B56" s="16"/>
      <c r="C56" s="16"/>
      <c r="D56" s="16"/>
      <c r="E56" s="16"/>
      <c r="F56" s="16"/>
      <c r="G56" s="16"/>
      <c r="H56" s="16"/>
    </row>
    <row r="57" customFormat="false" ht="24.75" hidden="false" customHeight="true" outlineLevel="0" collapsed="false">
      <c r="A57" s="17" t="s">
        <v>88</v>
      </c>
      <c r="B57" s="17"/>
      <c r="C57" s="17"/>
      <c r="D57" s="17"/>
      <c r="E57" s="17"/>
      <c r="F57" s="17"/>
      <c r="G57" s="17"/>
      <c r="H57" s="17"/>
    </row>
    <row r="58" customFormat="false" ht="24.75" hidden="false" customHeight="true" outlineLevel="0" collapsed="false">
      <c r="A58" s="17" t="s">
        <v>89</v>
      </c>
      <c r="B58" s="17"/>
      <c r="C58" s="17"/>
      <c r="D58" s="17"/>
      <c r="E58" s="17"/>
      <c r="F58" s="17"/>
      <c r="G58" s="17"/>
      <c r="H58" s="17"/>
    </row>
    <row r="59" customFormat="false" ht="24.75" hidden="false" customHeight="true" outlineLevel="0" collapsed="false">
      <c r="A59" s="17" t="s">
        <v>90</v>
      </c>
      <c r="B59" s="17"/>
      <c r="C59" s="17"/>
      <c r="D59" s="17"/>
      <c r="E59" s="17"/>
      <c r="F59" s="17"/>
      <c r="G59" s="17"/>
      <c r="H59" s="17"/>
    </row>
    <row r="60" customFormat="false" ht="4.5" hidden="false" customHeight="true" outlineLevel="0" collapsed="false">
      <c r="A60" s="18"/>
      <c r="B60" s="18"/>
      <c r="C60" s="18"/>
      <c r="D60" s="18"/>
      <c r="E60" s="18"/>
      <c r="F60" s="18"/>
      <c r="G60" s="18"/>
      <c r="H60" s="18"/>
    </row>
    <row r="61" customFormat="false" ht="24.75" hidden="false" customHeight="true" outlineLevel="0" collapsed="false">
      <c r="A61" s="16" t="s">
        <v>91</v>
      </c>
      <c r="B61" s="16"/>
      <c r="C61" s="16"/>
      <c r="D61" s="16"/>
      <c r="E61" s="16"/>
      <c r="F61" s="16"/>
      <c r="G61" s="16"/>
      <c r="H61" s="16"/>
    </row>
    <row r="62" customFormat="false" ht="24.75" hidden="false" customHeight="true" outlineLevel="0" collapsed="false">
      <c r="A62" s="17" t="s">
        <v>92</v>
      </c>
      <c r="B62" s="17"/>
      <c r="C62" s="17"/>
      <c r="D62" s="17"/>
      <c r="E62" s="17"/>
      <c r="F62" s="17"/>
      <c r="G62" s="17"/>
      <c r="H62" s="17"/>
    </row>
    <row r="63" customFormat="false" ht="24.75" hidden="false" customHeight="true" outlineLevel="0" collapsed="false">
      <c r="A63" s="17" t="s">
        <v>93</v>
      </c>
      <c r="B63" s="17"/>
      <c r="C63" s="17"/>
      <c r="D63" s="17"/>
      <c r="E63" s="17"/>
      <c r="F63" s="17"/>
      <c r="G63" s="17"/>
      <c r="H63" s="17"/>
    </row>
    <row r="64" customFormat="false" ht="24.75" hidden="false" customHeight="true" outlineLevel="0" collapsed="false">
      <c r="A64" s="19" t="s">
        <v>94</v>
      </c>
      <c r="B64" s="19"/>
      <c r="C64" s="19"/>
      <c r="D64" s="19"/>
      <c r="E64" s="19"/>
      <c r="F64" s="19"/>
      <c r="G64" s="19"/>
      <c r="H64" s="19"/>
    </row>
    <row r="65" customFormat="false" ht="24.75" hidden="false" customHeight="true" outlineLevel="0" collapsed="false">
      <c r="A65" s="16" t="s">
        <v>95</v>
      </c>
      <c r="B65" s="16"/>
      <c r="C65" s="16"/>
      <c r="D65" s="16"/>
      <c r="E65" s="16"/>
      <c r="F65" s="16"/>
      <c r="G65" s="16"/>
      <c r="H65" s="16"/>
    </row>
    <row r="66" customFormat="false" ht="4.5" hidden="false" customHeight="true" outlineLevel="0" collapsed="false">
      <c r="A66" s="16"/>
      <c r="B66" s="16"/>
      <c r="C66" s="16"/>
      <c r="D66" s="16"/>
      <c r="E66" s="16"/>
      <c r="F66" s="16"/>
      <c r="G66" s="16"/>
      <c r="H66" s="16"/>
    </row>
    <row r="67" customFormat="false" ht="24.75" hidden="false" customHeight="true" outlineLevel="0" collapsed="false">
      <c r="A67" s="16" t="s">
        <v>96</v>
      </c>
      <c r="B67" s="16"/>
      <c r="C67" s="16"/>
      <c r="D67" s="16"/>
      <c r="E67" s="16"/>
      <c r="F67" s="16"/>
      <c r="G67" s="16"/>
      <c r="H67" s="16"/>
    </row>
    <row r="68" customFormat="false" ht="4.5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</row>
    <row r="69" customFormat="false" ht="24.75" hidden="false" customHeight="true" outlineLevel="0" collapsed="false">
      <c r="A69" s="16" t="s">
        <v>97</v>
      </c>
      <c r="B69" s="16"/>
      <c r="C69" s="16"/>
      <c r="D69" s="16"/>
      <c r="E69" s="16"/>
      <c r="F69" s="16"/>
      <c r="G69" s="16"/>
      <c r="H69" s="16"/>
    </row>
    <row r="70" customFormat="false" ht="24.75" hidden="false" customHeight="true" outlineLevel="0" collapsed="false">
      <c r="A70" s="17" t="s">
        <v>98</v>
      </c>
      <c r="B70" s="17"/>
      <c r="C70" s="17"/>
      <c r="D70" s="17"/>
      <c r="E70" s="17"/>
      <c r="F70" s="17"/>
      <c r="G70" s="17"/>
      <c r="H70" s="17"/>
    </row>
    <row r="71" customFormat="false" ht="24.75" hidden="false" customHeight="true" outlineLevel="0" collapsed="false">
      <c r="A71" s="17" t="s">
        <v>99</v>
      </c>
      <c r="B71" s="17"/>
      <c r="C71" s="17"/>
      <c r="D71" s="17"/>
      <c r="E71" s="17"/>
      <c r="F71" s="17"/>
      <c r="G71" s="17"/>
      <c r="H71" s="17"/>
    </row>
    <row r="72" customFormat="false" ht="24.75" hidden="false" customHeight="true" outlineLevel="0" collapsed="false">
      <c r="A72" s="17" t="s">
        <v>100</v>
      </c>
      <c r="B72" s="17"/>
      <c r="C72" s="17"/>
      <c r="D72" s="17"/>
      <c r="E72" s="17"/>
      <c r="F72" s="17"/>
      <c r="G72" s="17"/>
      <c r="H72" s="17"/>
    </row>
    <row r="73" customFormat="false" ht="4.5" hidden="false" customHeight="true" outlineLevel="0" collapsed="false">
      <c r="A73" s="18"/>
      <c r="B73" s="18"/>
      <c r="C73" s="18"/>
      <c r="D73" s="18"/>
      <c r="E73" s="18"/>
      <c r="F73" s="18"/>
      <c r="G73" s="18"/>
      <c r="H73" s="18"/>
    </row>
    <row r="74" customFormat="false" ht="24.75" hidden="false" customHeight="true" outlineLevel="0" collapsed="false">
      <c r="A74" s="16" t="s">
        <v>101</v>
      </c>
      <c r="B74" s="16"/>
      <c r="C74" s="16"/>
      <c r="D74" s="16"/>
      <c r="E74" s="16"/>
      <c r="F74" s="16"/>
      <c r="G74" s="16"/>
      <c r="H74" s="16"/>
    </row>
    <row r="75" customFormat="false" ht="24.75" hidden="false" customHeight="true" outlineLevel="0" collapsed="false">
      <c r="A75" s="17" t="s">
        <v>102</v>
      </c>
      <c r="B75" s="17"/>
      <c r="C75" s="17"/>
      <c r="D75" s="17"/>
      <c r="E75" s="17"/>
      <c r="F75" s="17"/>
      <c r="G75" s="17"/>
      <c r="H75" s="17"/>
    </row>
    <row r="76" customFormat="false" ht="24.75" hidden="false" customHeight="true" outlineLevel="0" collapsed="false">
      <c r="A76" s="17" t="s">
        <v>103</v>
      </c>
      <c r="B76" s="17"/>
      <c r="C76" s="17"/>
      <c r="D76" s="17"/>
      <c r="E76" s="17"/>
      <c r="F76" s="17"/>
      <c r="G76" s="17"/>
      <c r="H76" s="17"/>
    </row>
    <row r="77" customFormat="false" ht="24.75" hidden="false" customHeight="true" outlineLevel="0" collapsed="false">
      <c r="A77" s="17" t="s">
        <v>104</v>
      </c>
      <c r="B77" s="17"/>
      <c r="C77" s="17"/>
      <c r="D77" s="17"/>
      <c r="E77" s="17"/>
      <c r="F77" s="17"/>
      <c r="G77" s="17"/>
      <c r="H77" s="17"/>
    </row>
    <row r="78" customFormat="false" ht="4.5" hidden="false" customHeight="true" outlineLevel="0" collapsed="false">
      <c r="A78" s="18"/>
      <c r="B78" s="18"/>
      <c r="C78" s="18"/>
      <c r="D78" s="18"/>
      <c r="E78" s="18"/>
      <c r="F78" s="18"/>
      <c r="G78" s="18"/>
      <c r="H78" s="18"/>
    </row>
    <row r="79" customFormat="false" ht="24.75" hidden="false" customHeight="true" outlineLevel="0" collapsed="false">
      <c r="A79" s="16" t="s">
        <v>105</v>
      </c>
      <c r="B79" s="16"/>
      <c r="C79" s="16"/>
      <c r="D79" s="16"/>
      <c r="E79" s="16"/>
      <c r="F79" s="16"/>
      <c r="G79" s="16"/>
      <c r="H79" s="16"/>
    </row>
    <row r="80" customFormat="false" ht="24.75" hidden="false" customHeight="true" outlineLevel="0" collapsed="false">
      <c r="A80" s="17" t="s">
        <v>106</v>
      </c>
      <c r="B80" s="17"/>
      <c r="C80" s="17"/>
      <c r="D80" s="17"/>
      <c r="E80" s="17"/>
      <c r="F80" s="17"/>
      <c r="G80" s="17"/>
      <c r="H80" s="17"/>
    </row>
    <row r="81" customFormat="false" ht="24.75" hidden="false" customHeight="true" outlineLevel="0" collapsed="false">
      <c r="A81" s="17" t="s">
        <v>107</v>
      </c>
      <c r="B81" s="17"/>
      <c r="C81" s="17"/>
      <c r="D81" s="17"/>
      <c r="E81" s="17"/>
      <c r="F81" s="17"/>
      <c r="G81" s="17"/>
      <c r="H81" s="17"/>
    </row>
    <row r="82" customFormat="false" ht="24.75" hidden="false" customHeight="true" outlineLevel="0" collapsed="false">
      <c r="A82" s="17" t="s">
        <v>108</v>
      </c>
      <c r="B82" s="17"/>
      <c r="C82" s="17"/>
      <c r="D82" s="17"/>
      <c r="E82" s="17"/>
      <c r="F82" s="17"/>
      <c r="G82" s="17"/>
      <c r="H82" s="17"/>
    </row>
  </sheetData>
  <mergeCells count="42">
    <mergeCell ref="A1:H1"/>
    <mergeCell ref="A2:H2"/>
    <mergeCell ref="A4:H4"/>
    <mergeCell ref="A10:H10"/>
    <mergeCell ref="A34:H34"/>
    <mergeCell ref="A39:H39"/>
    <mergeCell ref="A47:H47"/>
    <mergeCell ref="A48:H48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2025-12-30T13:08:59Z</dcterms:created>
  <dc:creator>openpyxl</dc:creator>
  <dc:description/>
  <dc:language>en-US</dc:language>
  <cp:lastModifiedBy/>
  <dcterms:modified xsi:type="dcterms:W3CDTF">2025-12-30T13:09:30Z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