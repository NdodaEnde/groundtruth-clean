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Structure" sheetId="1" state="visible" r:id="rId3"/>
    <sheet name="Pricing Tiers" sheetId="2" state="visible" r:id="rId4"/>
    <sheet name="3-Year Projections" sheetId="3" state="visible" r:id="rId5"/>
    <sheet name="Government Tend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<sst xmlns="http://schemas.openxmlformats.org/spreadsheetml/2006/main" count="161" uniqueCount="144">
  <si>
    <t xml:space="preserve">GROUNDTRUTH DOCUMENT DIGITIZATION PLATFORM</t>
  </si>
  <si>
    <t xml:space="preserve">Cost Structure Analysis (South Africa)</t>
  </si>
  <si>
    <t xml:space="preserve">Exchange Rate Assumption:</t>
  </si>
  <si>
    <t xml:space="preserve">per USD</t>
  </si>
  <si>
    <t xml:space="preserve">LANDINGAI API COSTS</t>
  </si>
  <si>
    <t xml:space="preserve">Metric</t>
  </si>
  <si>
    <t xml:space="preserve">USD</t>
  </si>
  <si>
    <t xml:space="preserve">ZAR</t>
  </si>
  <si>
    <t xml:space="preserve">Cost per credit</t>
  </si>
  <si>
    <t xml:space="preserve">Avg credits per document (parse + extract)</t>
  </si>
  <si>
    <t xml:space="preserve">Cost per document</t>
  </si>
  <si>
    <t xml:space="preserve">Cost per page (avg 5 pages/doc)</t>
  </si>
  <si>
    <t xml:space="preserve">MONTHLY INFRASTRUCTURE COSTS</t>
  </si>
  <si>
    <t xml:space="preserve">Component</t>
  </si>
  <si>
    <t xml:space="preserve">Low (USD)</t>
  </si>
  <si>
    <t xml:space="preserve">High (USD)</t>
  </si>
  <si>
    <t xml:space="preserve">Low (ZAR)</t>
  </si>
  <si>
    <t xml:space="preserve">High (ZAR)</t>
  </si>
  <si>
    <t xml:space="preserve">Supabase Database</t>
  </si>
  <si>
    <t xml:space="preserve">Backend Hosting (EC2/Cloud Run)</t>
  </si>
  <si>
    <t xml:space="preserve">Storage (S3/GCS) - 1-10TB</t>
  </si>
  <si>
    <t xml:space="preserve">Vector DB (Qdrant Cloud/Managed)</t>
  </si>
  <si>
    <t xml:space="preserve">CDN &amp; Load Balancing</t>
  </si>
  <si>
    <t xml:space="preserve">Monitoring &amp; Logging</t>
  </si>
  <si>
    <t xml:space="preserve">TOTAL MONTHLY INFRASTRUCTURE</t>
  </si>
  <si>
    <t xml:space="preserve">COST PER DOCUMENT SUMMARY</t>
  </si>
  <si>
    <t xml:space="preserve">LandingAI Cost per Document</t>
  </si>
  <si>
    <t xml:space="preserve">Infrastructure Cost per 1,000 docs (Low)</t>
  </si>
  <si>
    <t xml:space="preserve">Infrastructure Cost per 1,000 docs (High)</t>
  </si>
  <si>
    <t xml:space="preserve">TOTAL VARIABLE COST (Low volume)</t>
  </si>
  <si>
    <t xml:space="preserve">TOTAL VARIABLE COST (High volume)</t>
  </si>
  <si>
    <t xml:space="preserve">GROUNDTRUTH - PRICING TIERS</t>
  </si>
  <si>
    <t xml:space="preserve">Credit-Based SaaS Pricing (Rand)</t>
  </si>
  <si>
    <t xml:space="preserve">STARTER</t>
  </si>
  <si>
    <t xml:space="preserve">PROFESSIONAL</t>
  </si>
  <si>
    <t xml:space="preserve">ENTERPRISE</t>
  </si>
  <si>
    <t xml:space="preserve">GOVERNMENT</t>
  </si>
  <si>
    <t xml:space="preserve">Monthly Price</t>
  </si>
  <si>
    <t xml:space="preserve">Custom</t>
  </si>
  <si>
    <t xml:space="preserve">Document Credits</t>
  </si>
  <si>
    <t xml:space="preserve">50,000+</t>
  </si>
  <si>
    <t xml:space="preserve">Cost per Document</t>
  </si>
  <si>
    <t xml:space="preserve">8-12</t>
  </si>
  <si>
    <t xml:space="preserve">Users Included</t>
  </si>
  <si>
    <t xml:space="preserve">Unlimited</t>
  </si>
  <si>
    <t xml:space="preserve">Support Level</t>
  </si>
  <si>
    <t xml:space="preserve">Email</t>
  </si>
  <si>
    <t xml:space="preserve">Priority Email</t>
  </si>
  <si>
    <t xml:space="preserve">Dedicated</t>
  </si>
  <si>
    <t xml:space="preserve">24/7 + SLA</t>
  </si>
  <si>
    <t xml:space="preserve">Custom Workflows</t>
  </si>
  <si>
    <t xml:space="preserve">No</t>
  </si>
  <si>
    <t xml:space="preserve">Yes</t>
  </si>
  <si>
    <t xml:space="preserve">API Access</t>
  </si>
  <si>
    <t xml:space="preserve">Limited</t>
  </si>
  <si>
    <t xml:space="preserve">Full</t>
  </si>
  <si>
    <t xml:space="preserve">Full + White-label</t>
  </si>
  <si>
    <t xml:space="preserve">Data Retention</t>
  </si>
  <si>
    <t xml:space="preserve">1 year</t>
  </si>
  <si>
    <t xml:space="preserve">3 years</t>
  </si>
  <si>
    <t xml:space="preserve">5 years</t>
  </si>
  <si>
    <t xml:space="preserve">Configurable</t>
  </si>
  <si>
    <t xml:space="preserve">Training Included</t>
  </si>
  <si>
    <t xml:space="preserve">Self-service</t>
  </si>
  <si>
    <t xml:space="preserve">2 sessions</t>
  </si>
  <si>
    <t xml:space="preserve">On-site</t>
  </si>
  <si>
    <t xml:space="preserve">MARGIN ANALYSIS (per document)</t>
  </si>
  <si>
    <t xml:space="preserve">Revenue per Document</t>
  </si>
  <si>
    <t xml:space="preserve">Cost per Document (High infra)</t>
  </si>
  <si>
    <t xml:space="preserve">Gross Profit per Document</t>
  </si>
  <si>
    <t xml:space="preserve">Gross Margin %</t>
  </si>
  <si>
    <t xml:space="preserve">OVERAGE PRICING</t>
  </si>
  <si>
    <t xml:space="preserve">Additional documents beyond plan:</t>
  </si>
  <si>
    <t xml:space="preserve">per document</t>
  </si>
  <si>
    <t xml:space="preserve">Volume discount (&gt;10,000 docs/month):</t>
  </si>
  <si>
    <t xml:space="preserve">GROUNDTRUTH - 3-YEAR REVENUE PROJECTIONS</t>
  </si>
  <si>
    <t xml:space="preserve">Conservative Growth Scenario</t>
  </si>
  <si>
    <t xml:space="preserve">CUSTOMER GROWTH</t>
  </si>
  <si>
    <t xml:space="preserve">Year 1</t>
  </si>
  <si>
    <t xml:space="preserve">Year 2</t>
  </si>
  <si>
    <t xml:space="preserve">Year 3</t>
  </si>
  <si>
    <t xml:space="preserve">Starter Tier Customers</t>
  </si>
  <si>
    <t xml:space="preserve">Professional Tier Customers</t>
  </si>
  <si>
    <t xml:space="preserve">Enterprise Tier Customers</t>
  </si>
  <si>
    <t xml:space="preserve">Government Contracts</t>
  </si>
  <si>
    <t xml:space="preserve">MONTHLY RECURRING REVENUE</t>
  </si>
  <si>
    <t xml:space="preserve">Revenue Source</t>
  </si>
  <si>
    <t xml:space="preserve">Starter MRR</t>
  </si>
  <si>
    <t xml:space="preserve">Professional MRR</t>
  </si>
  <si>
    <t xml:space="preserve">Enterprise MRR</t>
  </si>
  <si>
    <t xml:space="preserve">Government MRR (avg)</t>
  </si>
  <si>
    <t xml:space="preserve">TOTAL MRR</t>
  </si>
  <si>
    <t xml:space="preserve">ANNUAL PROJECTIONS</t>
  </si>
  <si>
    <t xml:space="preserve">Annual Recurring Revenue (ARR)</t>
  </si>
  <si>
    <t xml:space="preserve">Documents Processed (estimate)</t>
  </si>
  <si>
    <t xml:space="preserve">Average Revenue per Document</t>
  </si>
  <si>
    <t xml:space="preserve">COST STRUCTURE</t>
  </si>
  <si>
    <t xml:space="preserve">Variable Costs (LandingAI)</t>
  </si>
  <si>
    <t xml:space="preserve">Infrastructure Costs (annual)</t>
  </si>
  <si>
    <t xml:space="preserve">Staff Costs (2-5 FTE @ R40k/month)</t>
  </si>
  <si>
    <t xml:space="preserve">Sales &amp; Marketing</t>
  </si>
  <si>
    <t xml:space="preserve">Total Operating Costs</t>
  </si>
  <si>
    <t xml:space="preserve">PROFITABILITY</t>
  </si>
  <si>
    <t xml:space="preserve">Annual Revenue</t>
  </si>
  <si>
    <t xml:space="preserve">Total Costs</t>
  </si>
  <si>
    <t xml:space="preserve">Net Profit / (Loss)</t>
  </si>
  <si>
    <t xml:space="preserve">Net Margin %</t>
  </si>
  <si>
    <t xml:space="preserve">GOVERNMENT TENDER PRICING MODEL</t>
  </si>
  <si>
    <t xml:space="preserve">Per-Page &amp; Volume Discount Structure</t>
  </si>
  <si>
    <t xml:space="preserve">PRICING ASSUMPTIONS</t>
  </si>
  <si>
    <t xml:space="preserve">Average pages per document:</t>
  </si>
  <si>
    <t xml:space="preserve">Your cost per page:</t>
  </si>
  <si>
    <t xml:space="preserve">TENDER PRICING STRUCTURE</t>
  </si>
  <si>
    <t xml:space="preserve">Volume Tier</t>
  </si>
  <si>
    <t xml:space="preserve">Pages</t>
  </si>
  <si>
    <t xml:space="preserve">Price per Page</t>
  </si>
  <si>
    <t xml:space="preserve">Example: 100k pages</t>
  </si>
  <si>
    <t xml:space="preserve">Your Margin</t>
  </si>
  <si>
    <t xml:space="preserve">Tier 1: Small</t>
  </si>
  <si>
    <t xml:space="preserve">0 - 100,000</t>
  </si>
  <si>
    <t xml:space="preserve">Tier 2: Medium</t>
  </si>
  <si>
    <t xml:space="preserve">100,001 - 500,000</t>
  </si>
  <si>
    <t xml:space="preserve">Tier 3: Large</t>
  </si>
  <si>
    <t xml:space="preserve">500,001 - 2,000,000</t>
  </si>
  <si>
    <t xml:space="preserve">Tier 4: Enterprise</t>
  </si>
  <si>
    <t xml:space="preserve">2,000,000+</t>
  </si>
  <si>
    <t xml:space="preserve">EXAMPLE TENDER SCENARIOS</t>
  </si>
  <si>
    <t xml:space="preserve">Scenario</t>
  </si>
  <si>
    <t xml:space="preserve">Total Pages</t>
  </si>
  <si>
    <t xml:space="preserve">Total Documents</t>
  </si>
  <si>
    <t xml:space="preserve">Contract Value</t>
  </si>
  <si>
    <t xml:space="preserve">Provincial Health Dept - Pilot</t>
  </si>
  <si>
    <t xml:space="preserve">Municipal Clinic Network</t>
  </si>
  <si>
    <t xml:space="preserve">National Digitization Program</t>
  </si>
  <si>
    <t xml:space="preserve">Multi-year Provincial Contract</t>
  </si>
  <si>
    <t xml:space="preserve">COMPETITIVE POSITIONING</t>
  </si>
  <si>
    <t xml:space="preserve">Traditional Manual Digitization:</t>
  </si>
  <si>
    <t xml:space="preserve">R 0.50 - 2.00</t>
  </si>
  <si>
    <t xml:space="preserve">per page</t>
  </si>
  <si>
    <t xml:space="preserve">Your AI-Powered Solution:</t>
  </si>
  <si>
    <t xml:space="preserve">R 0.40 - 1.00</t>
  </si>
  <si>
    <t xml:space="preserve">per page (20-60% cheaper)</t>
  </si>
  <si>
    <t xml:space="preserve">Value Add:</t>
  </si>
  <si>
    <t xml:space="preserve">Searchable, Validated, RAG-enabled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</si>
</sst>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%"/>
    <numFmt numFmtId="167" formatCode="#,##0;\(#,##0\);\-"/>
    <numFmt numFmtId="168" formatCode="#,##0.00"/>
    <numFmt numFmtId="169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</v>
      </c>
      <c r="B4" s="3" t="n">
        <v>20</v>
      </c>
      <c r="C4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6" t="s">
        <v>6</v>
      </c>
      <c r="C7" s="6" t="s">
        <v>7</v>
      </c>
    </row>
    <row r="8" customFormat="false" ht="15" hidden="false" customHeight="false" outlineLevel="0" collapsed="false">
      <c r="A8" s="0" t="s">
        <v>8</v>
      </c>
      <c r="B8" s="7" t="n">
        <v>0.00909</v>
      </c>
      <c r="C8" s="8" t="n">
        <f aca="false">B8*B4</f>
        <v>0.1818</v>
      </c>
      <c r="D8" s="8"/>
      <c r="E8" s="8"/>
    </row>
    <row r="9" customFormat="false" ht="15" hidden="false" customHeight="false" outlineLevel="0" collapsed="false">
      <c r="A9" s="0" t="s">
        <v>9</v>
      </c>
      <c r="B9" s="7" t="n">
        <v>2.5</v>
      </c>
      <c r="C9" s="8" t="n">
        <f aca="false">B9*B4</f>
        <v>50</v>
      </c>
      <c r="D9" s="8"/>
      <c r="E9" s="8"/>
    </row>
    <row r="10" customFormat="false" ht="15" hidden="false" customHeight="false" outlineLevel="0" collapsed="false">
      <c r="A10" s="0" t="s">
        <v>10</v>
      </c>
      <c r="B10" s="8" t="n">
        <f aca="false">B8*B9</f>
        <v>0.022725</v>
      </c>
      <c r="C10" s="8" t="n">
        <f aca="false">B10*B4</f>
        <v>0.4545</v>
      </c>
      <c r="D10" s="8"/>
      <c r="E10" s="8"/>
    </row>
    <row r="11" customFormat="false" ht="15" hidden="false" customHeight="false" outlineLevel="0" collapsed="false">
      <c r="A11" s="0" t="s">
        <v>11</v>
      </c>
      <c r="B11" s="8" t="n">
        <f aca="false">B10/5</f>
        <v>0.004545</v>
      </c>
      <c r="C11" s="8" t="n">
        <f aca="false">C10/5</f>
        <v>0.0909</v>
      </c>
      <c r="D11" s="8"/>
      <c r="E11" s="8"/>
    </row>
    <row r="12" customFormat="false" ht="15" hidden="false" customHeight="false" outlineLevel="0" collapsed="false">
      <c r="B12" s="8"/>
      <c r="C12" s="8"/>
      <c r="D12" s="8"/>
      <c r="E12" s="8"/>
    </row>
    <row r="13" customFormat="false" ht="15" hidden="false" customHeight="false" outlineLevel="0" collapsed="false">
      <c r="A13" s="5" t="s">
        <v>12</v>
      </c>
      <c r="B13" s="8"/>
      <c r="C13" s="8"/>
      <c r="D13" s="8"/>
      <c r="E13" s="8"/>
    </row>
    <row r="14" customFormat="false" ht="15" hidden="false" customHeight="false" outlineLevel="0" collapsed="false">
      <c r="A14" s="6" t="s">
        <v>13</v>
      </c>
      <c r="B14" s="9" t="s">
        <v>14</v>
      </c>
      <c r="C14" s="9" t="s">
        <v>15</v>
      </c>
      <c r="D14" s="9" t="s">
        <v>16</v>
      </c>
      <c r="E14" s="9" t="s">
        <v>17</v>
      </c>
    </row>
    <row r="15" customFormat="false" ht="15" hidden="false" customHeight="false" outlineLevel="0" collapsed="false">
      <c r="A15" s="0" t="s">
        <v>18</v>
      </c>
      <c r="B15" s="7" t="n">
        <v>25</v>
      </c>
      <c r="C15" s="7" t="n">
        <v>25</v>
      </c>
      <c r="D15" s="8" t="n">
        <f aca="false">B15*B4</f>
        <v>500</v>
      </c>
      <c r="E15" s="8" t="n">
        <f aca="false">C15*B4</f>
        <v>500</v>
      </c>
    </row>
    <row r="16" customFormat="false" ht="15" hidden="false" customHeight="false" outlineLevel="0" collapsed="false">
      <c r="A16" s="0" t="s">
        <v>19</v>
      </c>
      <c r="B16" s="7" t="n">
        <v>50</v>
      </c>
      <c r="C16" s="7" t="n">
        <v>500</v>
      </c>
      <c r="D16" s="8" t="n">
        <f aca="false">B16*B4</f>
        <v>1000</v>
      </c>
      <c r="E16" s="8" t="n">
        <f aca="false">C16*B4</f>
        <v>10000</v>
      </c>
    </row>
    <row r="17" customFormat="false" ht="15" hidden="false" customHeight="false" outlineLevel="0" collapsed="false">
      <c r="A17" s="0" t="s">
        <v>20</v>
      </c>
      <c r="B17" s="7" t="n">
        <v>20</v>
      </c>
      <c r="C17" s="7" t="n">
        <v>200</v>
      </c>
      <c r="D17" s="8" t="n">
        <f aca="false">B17*B4</f>
        <v>400</v>
      </c>
      <c r="E17" s="8" t="n">
        <f aca="false">C17*B4</f>
        <v>4000</v>
      </c>
    </row>
    <row r="18" customFormat="false" ht="15" hidden="false" customHeight="false" outlineLevel="0" collapsed="false">
      <c r="A18" s="0" t="s">
        <v>21</v>
      </c>
      <c r="B18" s="7" t="n">
        <v>70</v>
      </c>
      <c r="C18" s="7" t="n">
        <v>300</v>
      </c>
      <c r="D18" s="8" t="n">
        <f aca="false">B18*B4</f>
        <v>1400</v>
      </c>
      <c r="E18" s="8" t="n">
        <f aca="false">C18*B4</f>
        <v>6000</v>
      </c>
    </row>
    <row r="19" customFormat="false" ht="15" hidden="false" customHeight="false" outlineLevel="0" collapsed="false">
      <c r="A19" s="0" t="s">
        <v>22</v>
      </c>
      <c r="B19" s="7" t="n">
        <v>20</v>
      </c>
      <c r="C19" s="7" t="n">
        <v>100</v>
      </c>
      <c r="D19" s="8" t="n">
        <f aca="false">B19*B4</f>
        <v>400</v>
      </c>
      <c r="E19" s="8" t="n">
        <f aca="false">C19*B4</f>
        <v>2000</v>
      </c>
    </row>
    <row r="20" customFormat="false" ht="15" hidden="false" customHeight="false" outlineLevel="0" collapsed="false">
      <c r="A20" s="0" t="s">
        <v>23</v>
      </c>
      <c r="B20" s="7" t="n">
        <v>50</v>
      </c>
      <c r="C20" s="7" t="n">
        <v>200</v>
      </c>
      <c r="D20" s="8" t="n">
        <f aca="false">B20*B4</f>
        <v>1000</v>
      </c>
      <c r="E20" s="8" t="n">
        <f aca="false">C20*B4</f>
        <v>4000</v>
      </c>
    </row>
    <row r="21" customFormat="false" ht="15" hidden="false" customHeight="false" outlineLevel="0" collapsed="false">
      <c r="A21" s="6" t="s">
        <v>24</v>
      </c>
      <c r="B21" s="9" t="n">
        <f aca="false">SUM(B15:B20)</f>
        <v>235</v>
      </c>
      <c r="C21" s="9" t="n">
        <f aca="false">SUM(C15:C20)</f>
        <v>1325</v>
      </c>
      <c r="D21" s="9" t="n">
        <f aca="false">SUM(D15:D20)</f>
        <v>4700</v>
      </c>
      <c r="E21" s="9" t="n">
        <f aca="false">SUM(E15:E20)</f>
        <v>26500</v>
      </c>
    </row>
    <row r="22" customFormat="false" ht="15" hidden="false" customHeight="false" outlineLevel="0" collapsed="false">
      <c r="B22" s="8"/>
      <c r="C22" s="8"/>
      <c r="D22" s="8"/>
      <c r="E22" s="8"/>
    </row>
    <row r="23" customFormat="false" ht="15" hidden="false" customHeight="false" outlineLevel="0" collapsed="false">
      <c r="A23" s="5" t="s">
        <v>25</v>
      </c>
      <c r="B23" s="8"/>
      <c r="C23" s="8"/>
      <c r="D23" s="8"/>
      <c r="E23" s="8"/>
    </row>
    <row r="24" customFormat="false" ht="15" hidden="false" customHeight="false" outlineLevel="0" collapsed="false">
      <c r="A24" s="6" t="s">
        <v>5</v>
      </c>
      <c r="B24" s="9" t="s">
        <v>7</v>
      </c>
      <c r="C24" s="8"/>
      <c r="D24" s="8"/>
      <c r="E24" s="8"/>
    </row>
    <row r="25" customFormat="false" ht="15" hidden="false" customHeight="false" outlineLevel="0" collapsed="false">
      <c r="A25" s="0" t="s">
        <v>26</v>
      </c>
      <c r="B25" s="10" t="n">
        <f aca="false">C10</f>
        <v>0.4545</v>
      </c>
      <c r="C25" s="8"/>
      <c r="D25" s="8"/>
      <c r="E25" s="8"/>
    </row>
    <row r="26" customFormat="false" ht="15" hidden="false" customHeight="false" outlineLevel="0" collapsed="false">
      <c r="A26" s="0" t="s">
        <v>27</v>
      </c>
      <c r="B26" s="8" t="n">
        <f aca="false">D21/1000</f>
        <v>4.7</v>
      </c>
      <c r="C26" s="8"/>
      <c r="D26" s="8"/>
      <c r="E26" s="8"/>
    </row>
    <row r="27" customFormat="false" ht="15" hidden="false" customHeight="false" outlineLevel="0" collapsed="false">
      <c r="A27" s="0" t="s">
        <v>28</v>
      </c>
      <c r="B27" s="8" t="n">
        <f aca="false">E21/1000</f>
        <v>26.5</v>
      </c>
      <c r="C27" s="8"/>
      <c r="D27" s="8"/>
      <c r="E27" s="8"/>
    </row>
    <row r="28" customFormat="false" ht="15" hidden="false" customHeight="false" outlineLevel="0" collapsed="false">
      <c r="B28" s="8"/>
      <c r="C28" s="8"/>
      <c r="D28" s="8"/>
      <c r="E28" s="8"/>
    </row>
    <row r="29" customFormat="false" ht="15" hidden="false" customHeight="false" outlineLevel="0" collapsed="false">
      <c r="A29" s="6" t="s">
        <v>29</v>
      </c>
      <c r="B29" s="9" t="n">
        <f aca="false">B25+B27</f>
        <v>26.9545</v>
      </c>
      <c r="C29" s="8"/>
      <c r="D29" s="8"/>
      <c r="E29" s="8"/>
    </row>
    <row r="30" customFormat="false" ht="15" hidden="false" customHeight="false" outlineLevel="0" collapsed="false">
      <c r="A30" s="6" t="s">
        <v>30</v>
      </c>
      <c r="B30" s="9" t="n">
        <f aca="false">B25+B26</f>
        <v>5.1545</v>
      </c>
      <c r="C30" s="8"/>
      <c r="D30" s="8"/>
      <c r="E3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5" customFormat="false" ht="15" hidden="false" customHeight="false" outlineLevel="0" collapsed="false">
      <c r="B5" s="11" t="s">
        <v>33</v>
      </c>
      <c r="C5" s="11" t="s">
        <v>34</v>
      </c>
      <c r="D5" s="11" t="s">
        <v>35</v>
      </c>
      <c r="E5" s="11" t="s">
        <v>36</v>
      </c>
    </row>
    <row r="6" customFormat="false" ht="15" hidden="false" customHeight="false" outlineLevel="0" collapsed="false">
      <c r="A6" s="6" t="s">
        <v>37</v>
      </c>
      <c r="B6" s="12" t="n">
        <v>10000</v>
      </c>
      <c r="C6" s="12" t="n">
        <v>50000</v>
      </c>
      <c r="D6" s="12" t="n">
        <v>200000</v>
      </c>
      <c r="E6" s="13" t="s">
        <v>38</v>
      </c>
    </row>
    <row r="7" customFormat="false" ht="15" hidden="false" customHeight="false" outlineLevel="0" collapsed="false">
      <c r="A7" s="6" t="s">
        <v>39</v>
      </c>
      <c r="B7" s="12" t="n">
        <v>500</v>
      </c>
      <c r="C7" s="12" t="n">
        <v>3000</v>
      </c>
      <c r="D7" s="12" t="n">
        <v>15000</v>
      </c>
      <c r="E7" s="13" t="s">
        <v>40</v>
      </c>
    </row>
    <row r="8" customFormat="false" ht="15" hidden="false" customHeight="false" outlineLevel="0" collapsed="false">
      <c r="A8" s="6" t="s">
        <v>41</v>
      </c>
      <c r="B8" s="13" t="n">
        <f aca="false">B6/B7</f>
        <v>20</v>
      </c>
      <c r="C8" s="13" t="n">
        <f aca="false">C6/C7</f>
        <v>16.6666666666667</v>
      </c>
      <c r="D8" s="13" t="n">
        <f aca="false">D6/D7</f>
        <v>13.3333333333333</v>
      </c>
      <c r="E8" s="13" t="s">
        <v>42</v>
      </c>
    </row>
    <row r="9" customFormat="false" ht="15" hidden="false" customHeight="false" outlineLevel="0" collapsed="false">
      <c r="A9" s="6" t="s">
        <v>43</v>
      </c>
      <c r="B9" s="13" t="n">
        <v>2</v>
      </c>
      <c r="C9" s="13" t="n">
        <v>10</v>
      </c>
      <c r="D9" s="13" t="s">
        <v>44</v>
      </c>
      <c r="E9" s="13" t="s">
        <v>44</v>
      </c>
    </row>
    <row r="10" customFormat="false" ht="15" hidden="false" customHeight="false" outlineLevel="0" collapsed="false">
      <c r="A10" s="6" t="s">
        <v>45</v>
      </c>
      <c r="B10" s="13" t="s">
        <v>46</v>
      </c>
      <c r="C10" s="13" t="s">
        <v>47</v>
      </c>
      <c r="D10" s="13" t="s">
        <v>48</v>
      </c>
      <c r="E10" s="13" t="s">
        <v>49</v>
      </c>
    </row>
    <row r="11" customFormat="false" ht="15" hidden="false" customHeight="false" outlineLevel="0" collapsed="false">
      <c r="A11" s="6" t="s">
        <v>50</v>
      </c>
      <c r="B11" s="13" t="s">
        <v>51</v>
      </c>
      <c r="C11" s="13" t="s">
        <v>52</v>
      </c>
      <c r="D11" s="13" t="s">
        <v>52</v>
      </c>
      <c r="E11" s="13" t="s">
        <v>52</v>
      </c>
    </row>
    <row r="12" customFormat="false" ht="15" hidden="false" customHeight="false" outlineLevel="0" collapsed="false">
      <c r="A12" s="6" t="s">
        <v>53</v>
      </c>
      <c r="B12" s="13" t="s">
        <v>54</v>
      </c>
      <c r="C12" s="13" t="s">
        <v>55</v>
      </c>
      <c r="D12" s="13" t="s">
        <v>55</v>
      </c>
      <c r="E12" s="13" t="s">
        <v>56</v>
      </c>
    </row>
    <row r="13" customFormat="false" ht="15" hidden="false" customHeight="false" outlineLevel="0" collapsed="false">
      <c r="A13" s="6" t="s">
        <v>57</v>
      </c>
      <c r="B13" s="13" t="s">
        <v>58</v>
      </c>
      <c r="C13" s="13" t="s">
        <v>59</v>
      </c>
      <c r="D13" s="13" t="s">
        <v>60</v>
      </c>
      <c r="E13" s="13" t="s">
        <v>61</v>
      </c>
    </row>
    <row r="14" customFormat="false" ht="15" hidden="false" customHeight="false" outlineLevel="0" collapsed="false">
      <c r="A14" s="6" t="s">
        <v>62</v>
      </c>
      <c r="B14" s="13" t="s">
        <v>63</v>
      </c>
      <c r="C14" s="13" t="s">
        <v>64</v>
      </c>
      <c r="D14" s="13" t="s">
        <v>44</v>
      </c>
      <c r="E14" s="13" t="s">
        <v>65</v>
      </c>
    </row>
    <row r="17" customFormat="false" ht="15" hidden="false" customHeight="false" outlineLevel="0" collapsed="false">
      <c r="A17" s="5" t="s">
        <v>66</v>
      </c>
    </row>
    <row r="18" customFormat="false" ht="15" hidden="false" customHeight="false" outlineLevel="0" collapsed="false">
      <c r="A18" s="6" t="s">
        <v>5</v>
      </c>
      <c r="B18" s="6" t="s">
        <v>33</v>
      </c>
      <c r="C18" s="6" t="s">
        <v>34</v>
      </c>
      <c r="D18" s="6" t="s">
        <v>35</v>
      </c>
    </row>
    <row r="19" customFormat="false" ht="15" hidden="false" customHeight="false" outlineLevel="0" collapsed="false">
      <c r="A19" s="14" t="s">
        <v>67</v>
      </c>
      <c r="B19" s="15" t="n">
        <f aca="false">B8</f>
        <v>20</v>
      </c>
      <c r="C19" s="15" t="n">
        <f aca="false">C8</f>
        <v>16.6666666666667</v>
      </c>
      <c r="D19" s="15" t="n">
        <f aca="false">D8</f>
        <v>13.3333333333333</v>
      </c>
    </row>
    <row r="20" customFormat="false" ht="15" hidden="false" customHeight="false" outlineLevel="0" collapsed="false">
      <c r="A20" s="14" t="s">
        <v>68</v>
      </c>
      <c r="B20" s="15" t="n">
        <f aca="false">'Cost Structure'!B29</f>
        <v>26.9545</v>
      </c>
      <c r="C20" s="15" t="n">
        <f aca="false">'Cost Structure'!B29</f>
        <v>26.9545</v>
      </c>
      <c r="D20" s="15" t="n">
        <f aca="false">'Cost Structure'!B30</f>
        <v>5.1545</v>
      </c>
    </row>
    <row r="21" customFormat="false" ht="15" hidden="false" customHeight="false" outlineLevel="0" collapsed="false">
      <c r="A21" s="14" t="s">
        <v>69</v>
      </c>
      <c r="B21" s="15" t="n">
        <f aca="false">B19-B20</f>
        <v>-6.9545</v>
      </c>
      <c r="C21" s="15" t="n">
        <f aca="false">C19-C20</f>
        <v>-10.2878333333333</v>
      </c>
      <c r="D21" s="15" t="n">
        <f aca="false">D19-D20</f>
        <v>8.17883333333333</v>
      </c>
    </row>
    <row r="22" customFormat="false" ht="15" hidden="false" customHeight="false" outlineLevel="0" collapsed="false">
      <c r="A22" s="16" t="s">
        <v>70</v>
      </c>
      <c r="B22" s="16" t="n">
        <f aca="false">B21/B19</f>
        <v>-0.347725</v>
      </c>
      <c r="C22" s="16" t="n">
        <f aca="false">C21/C19</f>
        <v>-0.61727</v>
      </c>
      <c r="D22" s="16" t="n">
        <f aca="false">D21/D19</f>
        <v>0.6134125</v>
      </c>
    </row>
    <row r="24" customFormat="false" ht="15" hidden="false" customHeight="false" outlineLevel="0" collapsed="false">
      <c r="A24" s="17" t="s">
        <v>71</v>
      </c>
    </row>
    <row r="25" customFormat="false" ht="15" hidden="false" customHeight="false" outlineLevel="0" collapsed="false">
      <c r="A25" s="0" t="s">
        <v>72</v>
      </c>
      <c r="B25" s="3" t="n">
        <v>15</v>
      </c>
      <c r="C25" s="4" t="s">
        <v>73</v>
      </c>
    </row>
    <row r="26" customFormat="false" ht="15" hidden="false" customHeight="false" outlineLevel="0" collapsed="false">
      <c r="A26" s="0" t="s">
        <v>74</v>
      </c>
      <c r="B26" s="3" t="n">
        <v>10</v>
      </c>
      <c r="C26" s="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A4" s="5" t="s">
        <v>77</v>
      </c>
    </row>
    <row r="5" customFormat="false" ht="15" hidden="false" customHeight="false" outlineLevel="0" collapsed="false">
      <c r="A5" s="6" t="s">
        <v>5</v>
      </c>
      <c r="B5" s="6" t="s">
        <v>78</v>
      </c>
      <c r="C5" s="6" t="s">
        <v>79</v>
      </c>
      <c r="D5" s="6" t="s">
        <v>80</v>
      </c>
    </row>
    <row r="6" customFormat="false" ht="15" hidden="false" customHeight="false" outlineLevel="0" collapsed="false">
      <c r="A6" s="0" t="s">
        <v>81</v>
      </c>
      <c r="B6" s="3" t="n">
        <v>8</v>
      </c>
      <c r="C6" s="3" t="n">
        <v>15</v>
      </c>
      <c r="D6" s="3" t="n">
        <v>25</v>
      </c>
    </row>
    <row r="7" customFormat="false" ht="15" hidden="false" customHeight="false" outlineLevel="0" collapsed="false">
      <c r="A7" s="0" t="s">
        <v>82</v>
      </c>
      <c r="B7" s="3" t="n">
        <v>3</v>
      </c>
      <c r="C7" s="3" t="n">
        <v>8</v>
      </c>
      <c r="D7" s="3" t="n">
        <v>15</v>
      </c>
    </row>
    <row r="8" customFormat="false" ht="15" hidden="false" customHeight="false" outlineLevel="0" collapsed="false">
      <c r="A8" s="0" t="s">
        <v>83</v>
      </c>
      <c r="B8" s="3" t="n">
        <v>1</v>
      </c>
      <c r="C8" s="3" t="n">
        <v>3</v>
      </c>
      <c r="D8" s="3" t="n">
        <v>6</v>
      </c>
    </row>
    <row r="9" customFormat="false" ht="15" hidden="false" customHeight="false" outlineLevel="0" collapsed="false">
      <c r="A9" s="0" t="s">
        <v>84</v>
      </c>
      <c r="B9" s="3" t="n">
        <v>0</v>
      </c>
      <c r="C9" s="3" t="n">
        <v>1</v>
      </c>
      <c r="D9" s="3" t="n">
        <v>2</v>
      </c>
    </row>
    <row r="11" customFormat="false" ht="15" hidden="false" customHeight="false" outlineLevel="0" collapsed="false">
      <c r="A11" s="5" t="s">
        <v>85</v>
      </c>
    </row>
    <row r="12" customFormat="false" ht="15" hidden="false" customHeight="false" outlineLevel="0" collapsed="false">
      <c r="A12" s="6" t="s">
        <v>86</v>
      </c>
      <c r="B12" s="6" t="s">
        <v>78</v>
      </c>
      <c r="C12" s="6" t="s">
        <v>79</v>
      </c>
      <c r="D12" s="6" t="s">
        <v>80</v>
      </c>
    </row>
    <row r="13" customFormat="false" ht="15" hidden="false" customHeight="false" outlineLevel="0" collapsed="false">
      <c r="A13" s="0" t="s">
        <v>87</v>
      </c>
      <c r="B13" s="18" t="n">
        <f aca="false">B6*'Pricing Tiers'!B6</f>
        <v>80000</v>
      </c>
      <c r="C13" s="18" t="n">
        <f aca="false">C6*'Pricing Tiers'!B6</f>
        <v>150000</v>
      </c>
      <c r="D13" s="18" t="n">
        <f aca="false">D6*'Pricing Tiers'!B6</f>
        <v>250000</v>
      </c>
    </row>
    <row r="14" customFormat="false" ht="15" hidden="false" customHeight="false" outlineLevel="0" collapsed="false">
      <c r="A14" s="0" t="s">
        <v>88</v>
      </c>
      <c r="B14" s="18" t="n">
        <f aca="false">B7*'Pricing Tiers'!C6</f>
        <v>150000</v>
      </c>
      <c r="C14" s="18" t="n">
        <f aca="false">C7*'Pricing Tiers'!C6</f>
        <v>400000</v>
      </c>
      <c r="D14" s="18" t="n">
        <f aca="false">D7*'Pricing Tiers'!C6</f>
        <v>750000</v>
      </c>
    </row>
    <row r="15" customFormat="false" ht="15" hidden="false" customHeight="false" outlineLevel="0" collapsed="false">
      <c r="A15" s="0" t="s">
        <v>89</v>
      </c>
      <c r="B15" s="18" t="n">
        <f aca="false">B8*'Pricing Tiers'!D6</f>
        <v>200000</v>
      </c>
      <c r="C15" s="18" t="n">
        <f aca="false">C8*'Pricing Tiers'!D6</f>
        <v>600000</v>
      </c>
      <c r="D15" s="18" t="n">
        <f aca="false">D8*'Pricing Tiers'!D6</f>
        <v>1200000</v>
      </c>
    </row>
    <row r="16" customFormat="false" ht="15" hidden="false" customHeight="false" outlineLevel="0" collapsed="false">
      <c r="A16" s="0" t="s">
        <v>90</v>
      </c>
      <c r="B16" s="18" t="n">
        <f aca="false">B9*150000</f>
        <v>0</v>
      </c>
      <c r="C16" s="18" t="n">
        <f aca="false">C9*150000</f>
        <v>150000</v>
      </c>
      <c r="D16" s="18" t="n">
        <f aca="false">D9*150000</f>
        <v>300000</v>
      </c>
    </row>
    <row r="17" customFormat="false" ht="15" hidden="false" customHeight="false" outlineLevel="0" collapsed="false">
      <c r="A17" s="6" t="s">
        <v>91</v>
      </c>
      <c r="B17" s="19" t="n">
        <f aca="false">SUM(B13:B16)</f>
        <v>430000</v>
      </c>
      <c r="C17" s="19" t="n">
        <f aca="false">SUM(C13:C16)</f>
        <v>1300000</v>
      </c>
      <c r="D17" s="19" t="n">
        <f aca="false">SUM(D13:D16)</f>
        <v>2500000</v>
      </c>
    </row>
    <row r="19" customFormat="false" ht="15" hidden="false" customHeight="false" outlineLevel="0" collapsed="false">
      <c r="A19" s="5" t="s">
        <v>92</v>
      </c>
    </row>
    <row r="20" customFormat="false" ht="15" hidden="false" customHeight="false" outlineLevel="0" collapsed="false">
      <c r="A20" s="6" t="s">
        <v>93</v>
      </c>
      <c r="B20" s="18" t="n">
        <f aca="false">B17*12</f>
        <v>5160000</v>
      </c>
      <c r="C20" s="18" t="n">
        <f aca="false">C17*12</f>
        <v>15600000</v>
      </c>
      <c r="D20" s="18" t="n">
        <f aca="false">D17*12</f>
        <v>30000000</v>
      </c>
    </row>
    <row r="21" customFormat="false" ht="15" hidden="false" customHeight="false" outlineLevel="0" collapsed="false">
      <c r="A21" s="6" t="s">
        <v>94</v>
      </c>
      <c r="B21" s="3" t="n">
        <v>100000</v>
      </c>
      <c r="C21" s="3" t="n">
        <v>300000</v>
      </c>
      <c r="D21" s="3" t="n">
        <v>650000</v>
      </c>
    </row>
    <row r="22" customFormat="false" ht="15" hidden="false" customHeight="false" outlineLevel="0" collapsed="false">
      <c r="A22" s="6" t="s">
        <v>95</v>
      </c>
      <c r="B22" s="18" t="n">
        <f aca="false">B20/B21</f>
        <v>51.6</v>
      </c>
      <c r="C22" s="18" t="n">
        <f aca="false">C20/C21</f>
        <v>52</v>
      </c>
      <c r="D22" s="18" t="n">
        <f aca="false">D20/D21</f>
        <v>46.1538461538462</v>
      </c>
    </row>
    <row r="24" customFormat="false" ht="15" hidden="false" customHeight="false" outlineLevel="0" collapsed="false">
      <c r="A24" s="5" t="s">
        <v>96</v>
      </c>
    </row>
    <row r="25" customFormat="false" ht="15" hidden="false" customHeight="false" outlineLevel="0" collapsed="false">
      <c r="A25" s="0" t="s">
        <v>97</v>
      </c>
      <c r="B25" s="18" t="n">
        <f aca="false">B21*'Cost Structure'!C10</f>
        <v>45450</v>
      </c>
      <c r="C25" s="18" t="n">
        <f aca="false">C21*'Cost Structure'!C10</f>
        <v>136350</v>
      </c>
      <c r="D25" s="18" t="n">
        <f aca="false">D21*'Cost Structure'!C10</f>
        <v>295425</v>
      </c>
    </row>
    <row r="26" customFormat="false" ht="15" hidden="false" customHeight="false" outlineLevel="0" collapsed="false">
      <c r="A26" s="0" t="s">
        <v>98</v>
      </c>
      <c r="B26" s="18" t="n">
        <f aca="false">'Cost Structure'!E21*12</f>
        <v>318000</v>
      </c>
      <c r="C26" s="18" t="n">
        <f aca="false">'Cost Structure'!E21*12*1.5</f>
        <v>477000</v>
      </c>
      <c r="D26" s="18" t="n">
        <f aca="false">'Cost Structure'!E21*12*2</f>
        <v>636000</v>
      </c>
    </row>
    <row r="27" customFormat="false" ht="15" hidden="false" customHeight="false" outlineLevel="0" collapsed="false">
      <c r="A27" s="0" t="s">
        <v>99</v>
      </c>
      <c r="B27" s="20" t="n">
        <v>960000</v>
      </c>
      <c r="C27" s="20" t="n">
        <v>1920000</v>
      </c>
      <c r="D27" s="20" t="n">
        <v>2400000</v>
      </c>
    </row>
    <row r="28" customFormat="false" ht="15" hidden="false" customHeight="false" outlineLevel="0" collapsed="false">
      <c r="A28" s="0" t="s">
        <v>100</v>
      </c>
      <c r="B28" s="20" t="n">
        <v>300000</v>
      </c>
      <c r="C28" s="20" t="n">
        <v>600000</v>
      </c>
      <c r="D28" s="20" t="n">
        <v>900000</v>
      </c>
    </row>
    <row r="29" customFormat="false" ht="15" hidden="false" customHeight="false" outlineLevel="0" collapsed="false">
      <c r="A29" s="6" t="s">
        <v>101</v>
      </c>
      <c r="B29" s="19" t="n">
        <f aca="false">SUM(B25:B28)</f>
        <v>1623450</v>
      </c>
      <c r="C29" s="19" t="n">
        <f aca="false">SUM(C25:C28)</f>
        <v>3133350</v>
      </c>
      <c r="D29" s="19" t="n">
        <f aca="false">SUM(D25:D28)</f>
        <v>4231425</v>
      </c>
    </row>
    <row r="31" customFormat="false" ht="15" hidden="false" customHeight="false" outlineLevel="0" collapsed="false">
      <c r="A31" s="5" t="s">
        <v>102</v>
      </c>
    </row>
    <row r="32" customFormat="false" ht="15" hidden="false" customHeight="false" outlineLevel="0" collapsed="false">
      <c r="A32" s="6" t="s">
        <v>103</v>
      </c>
      <c r="B32" s="19" t="n">
        <f aca="false">B20</f>
        <v>5160000</v>
      </c>
      <c r="C32" s="19" t="n">
        <f aca="false">C20</f>
        <v>15600000</v>
      </c>
      <c r="D32" s="19" t="n">
        <f aca="false">D20</f>
        <v>30000000</v>
      </c>
    </row>
    <row r="33" customFormat="false" ht="15" hidden="false" customHeight="false" outlineLevel="0" collapsed="false">
      <c r="A33" s="6" t="s">
        <v>104</v>
      </c>
      <c r="B33" s="19" t="n">
        <f aca="false">B29</f>
        <v>1623450</v>
      </c>
      <c r="C33" s="19" t="n">
        <f aca="false">C29</f>
        <v>3133350</v>
      </c>
      <c r="D33" s="19" t="n">
        <f aca="false">D29</f>
        <v>4231425</v>
      </c>
    </row>
    <row r="34" customFormat="false" ht="15" hidden="false" customHeight="false" outlineLevel="0" collapsed="false">
      <c r="A34" s="6" t="s">
        <v>105</v>
      </c>
      <c r="B34" s="19" t="n">
        <f aca="false">B32-B33</f>
        <v>3536550</v>
      </c>
      <c r="C34" s="19" t="n">
        <f aca="false">C32-C33</f>
        <v>12466650</v>
      </c>
      <c r="D34" s="19" t="n">
        <f aca="false">D32-D33</f>
        <v>25768575</v>
      </c>
    </row>
    <row r="35" customFormat="false" ht="15" hidden="false" customHeight="false" outlineLevel="0" collapsed="false">
      <c r="A35" s="6" t="s">
        <v>106</v>
      </c>
      <c r="B35" s="21" t="n">
        <f aca="false">B34/B32</f>
        <v>0.685377906976744</v>
      </c>
      <c r="C35" s="21" t="n">
        <f aca="false">C34/C32</f>
        <v>0.799144230769231</v>
      </c>
      <c r="D35" s="21" t="n">
        <f aca="false">D34/D32</f>
        <v>0.8589525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5" t="s">
        <v>109</v>
      </c>
    </row>
    <row r="5" customFormat="false" ht="15" hidden="false" customHeight="false" outlineLevel="0" collapsed="false">
      <c r="A5" s="0" t="s">
        <v>110</v>
      </c>
      <c r="B5" s="3" t="n">
        <v>5</v>
      </c>
    </row>
    <row r="6" customFormat="false" ht="15" hidden="false" customHeight="false" outlineLevel="0" collapsed="false">
      <c r="A6" s="0" t="s">
        <v>111</v>
      </c>
      <c r="B6" s="22" t="n">
        <f aca="false">'Cost Structure'!C11</f>
        <v>0.0909</v>
      </c>
    </row>
    <row r="9" customFormat="false" ht="15" hidden="false" customHeight="false" outlineLevel="0" collapsed="false">
      <c r="A9" s="23" t="s">
        <v>112</v>
      </c>
    </row>
    <row r="10" customFormat="false" ht="15" hidden="false" customHeight="false" outlineLevel="0" collapsed="false">
      <c r="A10" s="6" t="s">
        <v>113</v>
      </c>
      <c r="B10" s="6" t="s">
        <v>114</v>
      </c>
      <c r="C10" s="6" t="s">
        <v>115</v>
      </c>
      <c r="D10" s="6" t="s">
        <v>116</v>
      </c>
      <c r="E10" s="6" t="s">
        <v>117</v>
      </c>
    </row>
    <row r="11" customFormat="false" ht="15" hidden="false" customHeight="false" outlineLevel="0" collapsed="false">
      <c r="A11" s="0" t="s">
        <v>118</v>
      </c>
      <c r="B11" s="0" t="s">
        <v>119</v>
      </c>
      <c r="C11" s="24" t="n">
        <v>1</v>
      </c>
      <c r="D11" s="18" t="n">
        <f aca="false">C11*100000</f>
        <v>100000</v>
      </c>
      <c r="E11" s="25" t="n">
        <f aca="false">(C11-B6)/C11</f>
        <v>0.9091</v>
      </c>
    </row>
    <row r="12" customFormat="false" ht="15" hidden="false" customHeight="false" outlineLevel="0" collapsed="false">
      <c r="A12" s="0" t="s">
        <v>120</v>
      </c>
      <c r="B12" s="0" t="s">
        <v>121</v>
      </c>
      <c r="C12" s="24" t="n">
        <v>0.75</v>
      </c>
      <c r="D12" s="18" t="n">
        <f aca="false">C12*100000</f>
        <v>75000</v>
      </c>
      <c r="E12" s="25" t="n">
        <f aca="false">(C12-B6)/C12</f>
        <v>0.8788</v>
      </c>
    </row>
    <row r="13" customFormat="false" ht="15" hidden="false" customHeight="false" outlineLevel="0" collapsed="false">
      <c r="A13" s="0" t="s">
        <v>122</v>
      </c>
      <c r="B13" s="0" t="s">
        <v>123</v>
      </c>
      <c r="C13" s="24" t="n">
        <v>0.5</v>
      </c>
      <c r="D13" s="18" t="n">
        <f aca="false">C13*100000</f>
        <v>50000</v>
      </c>
      <c r="E13" s="25" t="n">
        <f aca="false">(C13-B6)/C13</f>
        <v>0.8182</v>
      </c>
    </row>
    <row r="14" customFormat="false" ht="15" hidden="false" customHeight="false" outlineLevel="0" collapsed="false">
      <c r="A14" s="0" t="s">
        <v>124</v>
      </c>
      <c r="B14" s="0" t="s">
        <v>125</v>
      </c>
      <c r="C14" s="24" t="n">
        <v>0.4</v>
      </c>
      <c r="D14" s="18" t="n">
        <f aca="false">C14*100000</f>
        <v>40000</v>
      </c>
      <c r="E14" s="25" t="n">
        <f aca="false">(C14-B6)/C14</f>
        <v>0.77275</v>
      </c>
    </row>
    <row r="17" customFormat="false" ht="15" hidden="false" customHeight="false" outlineLevel="0" collapsed="false">
      <c r="A17" s="5" t="s">
        <v>126</v>
      </c>
    </row>
    <row r="18" customFormat="false" ht="15" hidden="false" customHeight="false" outlineLevel="0" collapsed="false">
      <c r="A18" s="6" t="s">
        <v>127</v>
      </c>
      <c r="B18" s="6" t="s">
        <v>128</v>
      </c>
      <c r="C18" s="6" t="s">
        <v>129</v>
      </c>
      <c r="D18" s="6" t="s">
        <v>130</v>
      </c>
      <c r="E18" s="6" t="s">
        <v>103</v>
      </c>
    </row>
    <row r="19" customFormat="false" ht="15" hidden="false" customHeight="false" outlineLevel="0" collapsed="false">
      <c r="A19" s="0" t="s">
        <v>131</v>
      </c>
      <c r="B19" s="26" t="n">
        <v>50000</v>
      </c>
      <c r="C19" s="27" t="n">
        <f aca="false">B19/B5</f>
        <v>10000</v>
      </c>
      <c r="D19" s="18" t="n">
        <f aca="false">B19*C11</f>
        <v>50000</v>
      </c>
      <c r="E19" s="18" t="n">
        <f aca="false">D19</f>
        <v>50000</v>
      </c>
    </row>
    <row r="20" customFormat="false" ht="15" hidden="false" customHeight="false" outlineLevel="0" collapsed="false">
      <c r="A20" s="0" t="s">
        <v>132</v>
      </c>
      <c r="B20" s="26" t="n">
        <v>250000</v>
      </c>
      <c r="C20" s="27" t="n">
        <f aca="false">B20/B5</f>
        <v>50000</v>
      </c>
      <c r="D20" s="18" t="n">
        <f aca="false">B20*C11</f>
        <v>250000</v>
      </c>
      <c r="E20" s="18" t="n">
        <f aca="false">D20/3</f>
        <v>83333.3333333333</v>
      </c>
    </row>
    <row r="21" customFormat="false" ht="15" hidden="false" customHeight="false" outlineLevel="0" collapsed="false">
      <c r="A21" s="0" t="s">
        <v>133</v>
      </c>
      <c r="B21" s="26" t="n">
        <v>1500000</v>
      </c>
      <c r="C21" s="27" t="n">
        <f aca="false">B21/B5</f>
        <v>300000</v>
      </c>
      <c r="D21" s="18" t="n">
        <f aca="false">B21*C11</f>
        <v>1500000</v>
      </c>
      <c r="E21" s="18" t="n">
        <f aca="false">D21/3</f>
        <v>500000</v>
      </c>
    </row>
    <row r="22" customFormat="false" ht="15" hidden="false" customHeight="false" outlineLevel="0" collapsed="false">
      <c r="A22" s="0" t="s">
        <v>134</v>
      </c>
      <c r="B22" s="26" t="n">
        <v>5000000</v>
      </c>
      <c r="C22" s="27" t="n">
        <f aca="false">B22/B5</f>
        <v>1000000</v>
      </c>
      <c r="D22" s="18" t="n">
        <f aca="false">B22*C11</f>
        <v>5000000</v>
      </c>
      <c r="E22" s="18" t="n">
        <f aca="false">D22/3</f>
        <v>1666666.66666667</v>
      </c>
    </row>
    <row r="25" customFormat="false" ht="15" hidden="false" customHeight="false" outlineLevel="0" collapsed="false">
      <c r="A25" s="17" t="s">
        <v>135</v>
      </c>
    </row>
    <row r="26" customFormat="false" ht="15" hidden="false" customHeight="false" outlineLevel="0" collapsed="false">
      <c r="A26" s="0" t="s">
        <v>136</v>
      </c>
      <c r="B26" s="0" t="s">
        <v>137</v>
      </c>
      <c r="C26" s="0" t="s">
        <v>138</v>
      </c>
    </row>
    <row r="27" customFormat="false" ht="15" hidden="false" customHeight="false" outlineLevel="0" collapsed="false">
      <c r="A27" s="0" t="s">
        <v>139</v>
      </c>
      <c r="B27" s="0" t="s">
        <v>140</v>
      </c>
      <c r="C27" s="0" t="s">
        <v>141</v>
      </c>
    </row>
    <row r="28" customFormat="false" ht="15" hidden="false" customHeight="false" outlineLevel="0" collapsed="false">
      <c r="A28" s="0" t="s">
        <v>142</v>
      </c>
      <c r="B28" s="0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2025-12-30T12:44:46Z</dcterms:created>
  <dc:creator>openpyxl</dc:creator>
  <dc:description/>
  <dc:language>en-US</dc:language>
  <cp:lastModifiedBy/>
  <dcterms:modified xsi:type="dcterms:W3CDTF">2025-12-30T12:44:46Z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